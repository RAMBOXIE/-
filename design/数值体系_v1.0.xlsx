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" sheetId="1" state="visible" r:id="rId1"/>
    <sheet xmlns:r="http://schemas.openxmlformats.org/officeDocument/2006/relationships" name="动作成本表" sheetId="2" state="visible" r:id="rId2"/>
    <sheet xmlns:r="http://schemas.openxmlformats.org/officeDocument/2006/relationships" name="教学局模拟" sheetId="3" state="visible" r:id="rId3"/>
    <sheet xmlns:r="http://schemas.openxmlformats.org/officeDocument/2006/relationships" name="判定表" sheetId="4" state="visible" r:id="rId4"/>
    <sheet xmlns:r="http://schemas.openxmlformats.org/officeDocument/2006/relationships" name="失真档" sheetId="5" state="visible" r:id="rId5"/>
    <sheet xmlns:r="http://schemas.openxmlformats.org/officeDocument/2006/relationships" name="校准记录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hh:mm"/>
    <numFmt numFmtId="165" formatCode="0.0000"/>
  </numFmts>
  <fonts count="5">
    <font>
      <name val="Calibri"/>
      <family val="2"/>
      <color theme="1"/>
      <sz val="11"/>
      <scheme val="minor"/>
    </font>
    <font>
      <name val="微软雅黑"/>
      <b val="1"/>
      <sz val="10"/>
    </font>
    <font>
      <name val="微软雅黑"/>
      <b val="1"/>
      <color rgb="00404040"/>
      <sz val="10"/>
    </font>
    <font>
      <name val="微软雅黑"/>
      <sz val="10"/>
    </font>
    <font>
      <name val="微软雅黑"/>
      <color rgb="000000FF"/>
      <sz val="10"/>
    </font>
  </fonts>
  <fills count="4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bottom style="thin">
        <color rgb="0080808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pivotButton="0" quotePrefix="0" xfId="0"/>
    <xf numFmtId="0" fontId="2" fillId="3" borderId="0" pivotButton="0" quotePrefix="0" xfId="0"/>
    <xf numFmtId="0" fontId="0" fillId="3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left"/>
    </xf>
    <xf numFmtId="9" fontId="4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/>
    </xf>
    <xf numFmtId="0" fontId="1" fillId="0" borderId="0" pivotButton="0" quotePrefix="0" xfId="0"/>
    <xf numFmtId="164" fontId="3" fillId="0" borderId="0" applyAlignment="1" pivotButton="0" quotePrefix="0" xfId="0">
      <alignment horizontal="right"/>
    </xf>
    <xf numFmtId="0" fontId="2" fillId="0" borderId="0" pivotButton="0" quotePrefix="0" xfId="0"/>
    <xf numFmtId="2" fontId="3" fillId="0" borderId="0" applyAlignment="1" pivotButton="0" quotePrefix="0" xfId="0">
      <alignment horizontal="right"/>
    </xf>
    <xf numFmtId="165" fontId="3" fillId="0" borderId="0" applyAlignment="1" pivotButton="0" quotePrefix="0" xfId="0">
      <alignment horizontal="right"/>
    </xf>
    <xf numFmtId="9" fontId="3" fillId="0" borderId="0" applyAlignment="1" pivotButton="0" quotePrefix="0" xfId="0">
      <alignment horizontal="right"/>
    </xf>
  </cellXfs>
  <cellStyles count="1">
    <cellStyle name="Normal" xfId="0" builtinId="0" hidden="0"/>
  </cellStyles>
  <dxfs count="2">
    <dxf>
      <font>
        <name val="微软雅黑"/>
        <b val="1"/>
        <color rgb="00008000"/>
        <sz val="10"/>
      </font>
    </dxf>
    <dxf>
      <font>
        <name val="微软雅黑"/>
        <b val="1"/>
        <color rgb="00FF0000"/>
        <sz val="1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26" customWidth="1" min="4" max="4"/>
    <col width="58" customWidth="1" min="5" max="5"/>
  </cols>
  <sheetData>
    <row r="1">
      <c r="A1" s="1" t="inlineStr">
        <is>
          <t>参数名</t>
        </is>
      </c>
      <c r="B1" s="1" t="inlineStr">
        <is>
          <t>值</t>
        </is>
      </c>
      <c r="C1" s="1" t="inlineStr">
        <is>
          <t>单位</t>
        </is>
      </c>
      <c r="D1" s="1" t="inlineStr">
        <is>
          <t>出处</t>
        </is>
      </c>
      <c r="E1" s="1" t="inlineStr">
        <is>
          <t>备注</t>
        </is>
      </c>
    </row>
    <row r="2">
      <c r="A2" s="2" t="inlineStr">
        <is>
          <t>— 全局 —</t>
        </is>
      </c>
      <c r="B2" s="3" t="n"/>
      <c r="C2" s="3" t="n"/>
      <c r="D2" s="3" t="n"/>
      <c r="E2" s="3" t="n"/>
    </row>
    <row r="3">
      <c r="A3" s="4" t="inlineStr">
        <is>
          <t>开局电量</t>
        </is>
      </c>
      <c r="B3" s="5" t="n">
        <v>100</v>
      </c>
      <c r="C3" s="4" t="inlineStr">
        <is>
          <t>%</t>
        </is>
      </c>
      <c r="D3" s="4" t="inlineStr">
        <is>
          <t>v0.4 §0.1</t>
        </is>
      </c>
      <c r="E3" s="6" t="inlineStr">
        <is>
          <t>每动作后口播新值;电量=行动预算=生命</t>
        </is>
      </c>
    </row>
    <row r="4">
      <c r="A4" s="4" t="inlineStr">
        <is>
          <t>开局时钟·时</t>
        </is>
      </c>
      <c r="B4" s="5" t="n">
        <v>2</v>
      </c>
      <c r="C4" s="4" t="inlineStr">
        <is>
          <t>时</t>
        </is>
      </c>
      <c r="D4" s="4" t="inlineStr">
        <is>
          <t>v0.4 §1</t>
        </is>
      </c>
      <c r="E4" s="6" t="inlineStr">
        <is>
          <t>开局 02:12</t>
        </is>
      </c>
    </row>
    <row r="5">
      <c r="A5" s="4" t="inlineStr">
        <is>
          <t>开局时钟·分</t>
        </is>
      </c>
      <c r="B5" s="5" t="n">
        <v>12</v>
      </c>
      <c r="C5" s="4" t="inlineStr">
        <is>
          <t>分</t>
        </is>
      </c>
      <c r="D5" s="4" t="inlineStr">
        <is>
          <t>v0.4 §1</t>
        </is>
      </c>
      <c r="E5" s="6" t="inlineStr"/>
    </row>
    <row r="6">
      <c r="A6" s="4" t="inlineStr">
        <is>
          <t>每动作时钟</t>
        </is>
      </c>
      <c r="B6" s="5" t="n">
        <v>4</v>
      </c>
      <c r="C6" s="4" t="inlineStr">
        <is>
          <t>分钟</t>
        </is>
      </c>
      <c r="D6" s="4" t="inlineStr">
        <is>
          <t>v0.4 §0.1</t>
        </is>
      </c>
      <c r="E6" s="6" t="inlineStr">
        <is>
          <t>拨表规则例外:事件自带时间戳(03:02 / 03:34)</t>
        </is>
      </c>
    </row>
    <row r="7">
      <c r="A7" s="4" t="inlineStr">
        <is>
          <t>信号上限</t>
        </is>
      </c>
      <c r="B7" s="5" t="n">
        <v>120</v>
      </c>
      <c r="C7" s="4" t="inlineStr">
        <is>
          <t>点</t>
        </is>
      </c>
      <c r="D7" s="4" t="inlineStr">
        <is>
          <t>engine.js</t>
        </is>
      </c>
      <c r="E7" s="6" t="inlineStr">
        <is>
          <t>S.trace 封顶 Math.min(120,…);数字永远秘匿,玩家只见信号格</t>
        </is>
      </c>
    </row>
    <row r="8">
      <c r="A8" s="4" t="inlineStr">
        <is>
          <t>省电阈值</t>
        </is>
      </c>
      <c r="B8" s="5" t="n">
        <v>20</v>
      </c>
      <c r="C8" s="4" t="inlineStr">
        <is>
          <t>%</t>
        </is>
      </c>
      <c r="D8" s="4" t="inlineStr">
        <is>
          <t>engine.js / v0.4 §0.1</t>
        </is>
      </c>
      <c r="E8" s="6" t="inlineStr">
        <is>
          <t>电量&lt;20%:屏幕变暗,进入省电模式</t>
        </is>
      </c>
    </row>
    <row r="9">
      <c r="A9" s="4" t="inlineStr">
        <is>
          <t>省电判定惩罚</t>
        </is>
      </c>
      <c r="B9" s="5" t="n">
        <v>15</v>
      </c>
      <c r="C9" s="4" t="inlineStr">
        <is>
          <t>点</t>
        </is>
      </c>
      <c r="D9" s="4" t="inlineStr">
        <is>
          <t>engine.js roll()</t>
        </is>
      </c>
      <c r="E9" s="6" t="inlineStr">
        <is>
          <t>省电模式下所有判定成功率 −15</t>
        </is>
      </c>
    </row>
    <row r="10">
      <c r="A10" s="4" t="inlineStr">
        <is>
          <t>上传电量预留比例</t>
        </is>
      </c>
      <c r="B10" s="7" t="n">
        <v>0.3</v>
      </c>
      <c r="C10" s="4" t="inlineStr">
        <is>
          <t>比例</t>
        </is>
      </c>
      <c r="D10" s="4" t="inlineStr">
        <is>
          <t>v0.4 格2 备忘二</t>
        </is>
      </c>
      <c r="E10" s="6" t="inlineStr">
        <is>
          <t>「电量留三成给上传,贪的死在传输条上」;教学局模拟检查用</t>
        </is>
      </c>
    </row>
    <row r="11">
      <c r="A11" s="4" t="inlineStr">
        <is>
          <t>力竭结算态</t>
        </is>
      </c>
      <c r="B11" s="5" t="n">
        <v>0</v>
      </c>
      <c r="C11" s="4" t="inlineStr">
        <is>
          <t>%</t>
        </is>
      </c>
      <c r="D11" s="4" t="inlineStr">
        <is>
          <t>本轮新增</t>
        </is>
      </c>
      <c r="E11" s="6" t="inlineStr">
        <is>
          <t>电量归 0 → 死亡,缓存散佚。新启用结算态(v0.4 §0.7 曾登记为 M2 首测,现启用)</t>
        </is>
      </c>
    </row>
    <row r="12">
      <c r="A12" s="2" t="inlineStr">
        <is>
          <t>— 动作成本·电量(正数=消耗)—</t>
        </is>
      </c>
      <c r="B12" s="3" t="n"/>
      <c r="C12" s="3" t="n"/>
      <c r="D12" s="3" t="n"/>
      <c r="E12" s="3" t="n"/>
    </row>
    <row r="13">
      <c r="A13" s="4" t="inlineStr">
        <is>
          <t>打开目录·电量</t>
        </is>
      </c>
      <c r="B13" s="5" t="n">
        <v>3</v>
      </c>
      <c r="C13" s="4" t="inlineStr">
        <is>
          <t>%</t>
        </is>
      </c>
      <c r="D13" s="4" t="inlineStr">
        <is>
          <t>v0.4 §0.2</t>
        </is>
      </c>
      <c r="E13" s="6" t="inlineStr"/>
    </row>
    <row r="14">
      <c r="A14" s="4" t="inlineStr">
        <is>
          <t>打开条目(读一条)·电量</t>
        </is>
      </c>
      <c r="B14" s="5" t="n">
        <v>2</v>
      </c>
      <c r="C14" s="4" t="inlineStr">
        <is>
          <t>%</t>
        </is>
      </c>
      <c r="D14" s="4" t="inlineStr">
        <is>
          <t>v0.4 §0.2</t>
        </is>
      </c>
      <c r="E14" s="6" t="inlineStr">
        <is>
          <t>缓存收益见各条目</t>
        </is>
      </c>
    </row>
    <row r="15">
      <c r="A15" s="4" t="inlineStr">
        <is>
          <t>深搜(上滑/翻页/解码)·电量</t>
        </is>
      </c>
      <c r="B15" s="5" t="n">
        <v>5</v>
      </c>
      <c r="C15" s="4" t="inlineStr">
        <is>
          <t>%</t>
        </is>
      </c>
      <c r="D15" s="4" t="inlineStr">
        <is>
          <t>v0.4 §0.2</t>
        </is>
      </c>
      <c r="E15" s="6" t="inlineStr"/>
    </row>
    <row r="16">
      <c r="A16" s="4" t="inlineStr">
        <is>
          <t>侦察·电量</t>
        </is>
      </c>
      <c r="B16" s="5" t="n">
        <v>8</v>
      </c>
      <c r="C16" s="4" t="inlineStr">
        <is>
          <t>%</t>
        </is>
      </c>
      <c r="D16" s="4" t="inlineStr">
        <is>
          <t>v0.4 §0.2</t>
        </is>
      </c>
      <c r="E16" s="6" t="inlineStr"/>
    </row>
    <row r="17">
      <c r="A17" s="4" t="inlineStr">
        <is>
          <t>开挂标记目录·电量</t>
        </is>
      </c>
      <c r="B17" s="5" t="n">
        <v>5</v>
      </c>
      <c r="C17" s="4" t="inlineStr">
        <is>
          <t>%</t>
        </is>
      </c>
      <c r="D17" s="4" t="inlineStr">
        <is>
          <t>v0.4 §0.2</t>
        </is>
      </c>
      <c r="E17" s="6" t="inlineStr">
        <is>
          <t>「已删除」目录</t>
        </is>
      </c>
    </row>
    <row r="18">
      <c r="A18" s="4" t="inlineStr">
        <is>
          <t>回复(各类)·电量</t>
        </is>
      </c>
      <c r="B18" s="5" t="n">
        <v>2</v>
      </c>
      <c r="C18" s="4" t="inlineStr">
        <is>
          <t>%</t>
        </is>
      </c>
      <c r="D18" s="4" t="inlineStr">
        <is>
          <t>v0.4 §0.2</t>
        </is>
      </c>
      <c r="E18" s="6" t="inlineStr">
        <is>
          <t>系统线程/实体/违规回复同价,差别在信号</t>
        </is>
      </c>
    </row>
    <row r="19">
      <c r="A19" s="4" t="inlineStr">
        <is>
          <t>上传·每回合电量</t>
        </is>
      </c>
      <c r="B19" s="5" t="n">
        <v>2</v>
      </c>
      <c r="C19" s="4" t="inlineStr">
        <is>
          <t>%</t>
        </is>
      </c>
      <c r="D19" s="4" t="inlineStr">
        <is>
          <t>v0.4 §0.2</t>
        </is>
      </c>
      <c r="E19" s="6" t="inlineStr"/>
    </row>
    <row r="20">
      <c r="A20" s="4" t="inlineStr">
        <is>
          <t>原地等待·电量</t>
        </is>
      </c>
      <c r="B20" s="5" t="n">
        <v>2</v>
      </c>
      <c r="C20" s="4" t="inlineStr">
        <is>
          <t>%</t>
        </is>
      </c>
      <c r="D20" s="4" t="inlineStr">
        <is>
          <t>v0.4 §0.1</t>
        </is>
      </c>
      <c r="E20" s="6" t="inlineStr">
        <is>
          <t>等待=一个动作:时钟+4,被动信号照走</t>
        </is>
      </c>
    </row>
    <row r="21">
      <c r="A21" s="4" t="inlineStr">
        <is>
          <t>拨打电话·电量</t>
        </is>
      </c>
      <c r="B21" s="5" t="n">
        <v>3</v>
      </c>
      <c r="C21" s="4" t="inlineStr">
        <is>
          <t>%</t>
        </is>
      </c>
      <c r="D21" s="4" t="inlineStr">
        <is>
          <t>本轮新增</t>
        </is>
      </c>
      <c r="E21" s="6" t="inlineStr">
        <is>
          <t>拨给通讯录任意人</t>
        </is>
      </c>
    </row>
    <row r="22">
      <c r="A22" s="4" t="inlineStr">
        <is>
          <t>播放录音·电量</t>
        </is>
      </c>
      <c r="B22" s="5" t="n">
        <v>2</v>
      </c>
      <c r="C22" s="4" t="inlineStr">
        <is>
          <t>%</t>
        </is>
      </c>
      <c r="D22" s="4" t="inlineStr">
        <is>
          <t>本轮新增</t>
        </is>
      </c>
      <c r="E22" s="6" t="inlineStr">
        <is>
          <t>REC_047 / REC_012 同价</t>
        </is>
      </c>
    </row>
    <row r="23">
      <c r="A23" s="4" t="inlineStr">
        <is>
          <t>缓存清洗·电量</t>
        </is>
      </c>
      <c r="B23" s="5" t="n">
        <v>0</v>
      </c>
      <c r="C23" s="4" t="inlineStr">
        <is>
          <t>%</t>
        </is>
      </c>
      <c r="D23" s="4" t="inlineStr">
        <is>
          <t>v0.4 §0.2</t>
        </is>
      </c>
      <c r="E23" s="6" t="inlineStr">
        <is>
          <t>道具,B 局漂流瓶来源</t>
        </is>
      </c>
    </row>
    <row r="24">
      <c r="A24" s="2" t="inlineStr">
        <is>
          <t>— 动作成本·信号 —</t>
        </is>
      </c>
      <c r="B24" s="3" t="n"/>
      <c r="C24" s="3" t="n"/>
      <c r="D24" s="3" t="n"/>
      <c r="E24" s="3" t="n"/>
    </row>
    <row r="25">
      <c r="A25" s="4" t="inlineStr">
        <is>
          <t>打开目录·被动信号</t>
        </is>
      </c>
      <c r="B25" s="5" t="n">
        <v>4</v>
      </c>
      <c r="C25" s="4" t="inlineStr">
        <is>
          <t>点/目录</t>
        </is>
      </c>
      <c r="D25" s="4" t="inlineStr">
        <is>
          <t>v0.4 §0.2</t>
        </is>
      </c>
      <c r="E25" s="6" t="inlineStr">
        <is>
          <t>每打开一个目录 +4</t>
        </is>
      </c>
    </row>
    <row r="26">
      <c r="A26" s="4" t="inlineStr">
        <is>
          <t>深搜·信号</t>
        </is>
      </c>
      <c r="B26" s="5" t="n">
        <v>5</v>
      </c>
      <c r="C26" s="4" t="inlineStr">
        <is>
          <t>点</t>
        </is>
      </c>
      <c r="D26" s="4" t="inlineStr">
        <is>
          <t>v0.4 §0.2</t>
        </is>
      </c>
      <c r="E26" s="6" t="inlineStr"/>
    </row>
    <row r="27">
      <c r="A27" s="4" t="inlineStr">
        <is>
          <t>开挂标记目录·信号</t>
        </is>
      </c>
      <c r="B27" s="5" t="n">
        <v>12</v>
      </c>
      <c r="C27" s="4" t="inlineStr">
        <is>
          <t>点</t>
        </is>
      </c>
      <c r="D27" s="4" t="inlineStr">
        <is>
          <t>v0.4 §0.2</t>
        </is>
      </c>
      <c r="E27" s="6" t="inlineStr"/>
    </row>
    <row r="28">
      <c r="A28" s="4" t="inlineStr">
        <is>
          <t>上传·每回合信号</t>
        </is>
      </c>
      <c r="B28" s="5" t="n">
        <v>5</v>
      </c>
      <c r="C28" s="4" t="inlineStr">
        <is>
          <t>点</t>
        </is>
      </c>
      <c r="D28" s="4" t="inlineStr">
        <is>
          <t>v0.4 §0.2</t>
        </is>
      </c>
      <c r="E28" s="6" t="inlineStr"/>
    </row>
    <row r="29">
      <c r="A29" s="4" t="inlineStr">
        <is>
          <t>拨打电话·信号</t>
        </is>
      </c>
      <c r="B29" s="5" t="n">
        <v>2</v>
      </c>
      <c r="C29" s="4" t="inlineStr">
        <is>
          <t>点</t>
        </is>
      </c>
      <c r="D29" s="4" t="inlineStr">
        <is>
          <t>本轮新增</t>
        </is>
      </c>
      <c r="E29" s="6" t="inlineStr">
        <is>
          <t>不属于「回复消息」,不走违规经济(窗口内拨打亦不违规)</t>
        </is>
      </c>
    </row>
    <row r="30">
      <c r="A30" s="4" t="inlineStr">
        <is>
          <t>缓存清洗·信号</t>
        </is>
      </c>
      <c r="B30" s="5" t="n">
        <v>-15</v>
      </c>
      <c r="C30" s="4" t="inlineStr">
        <is>
          <t>点</t>
        </is>
      </c>
      <c r="D30" s="4" t="inlineStr">
        <is>
          <t>v0.4 §0.2</t>
        </is>
      </c>
      <c r="E30" s="6" t="inlineStr">
        <is>
          <t>唯一降信号手段</t>
        </is>
      </c>
    </row>
    <row r="31">
      <c r="A31" s="2" t="inlineStr">
        <is>
          <t>— 违规经济(活规则)—</t>
        </is>
      </c>
      <c r="B31" s="3" t="n"/>
      <c r="C31" s="3" t="n"/>
      <c r="D31" s="3" t="n"/>
      <c r="E31" s="3" t="n"/>
    </row>
    <row r="32">
      <c r="A32" s="4" t="inlineStr">
        <is>
          <t>违规·首次信号(warning shot)</t>
        </is>
      </c>
      <c r="B32" s="5" t="n">
        <v>8</v>
      </c>
      <c r="C32" s="4" t="inlineStr">
        <is>
          <t>点</t>
        </is>
      </c>
      <c r="D32" s="4" t="inlineStr">
        <is>
          <t>v0.4 §0.2 / engine.violate</t>
        </is>
      </c>
      <c r="E32" s="6" t="inlineStr">
        <is>
          <t>非致死;回执翻转演出。出处 montecarlo trace_violation_warn=8</t>
        </is>
      </c>
    </row>
    <row r="33">
      <c r="A33" s="4" t="inlineStr">
        <is>
          <t>违规·二次信号</t>
        </is>
      </c>
      <c r="B33" s="5" t="n">
        <v>15</v>
      </c>
      <c r="C33" s="4" t="inlineStr">
        <is>
          <t>点</t>
        </is>
      </c>
      <c r="D33" s="4" t="inlineStr">
        <is>
          <t>v0.4 §0.2 / engine.violate</t>
        </is>
      </c>
      <c r="E33" s="6" t="inlineStr">
        <is>
          <t>且即时遭遇(90档)【真掷,教学局失败降档】</t>
        </is>
      </c>
    </row>
    <row r="34">
      <c r="A34" s="4" t="inlineStr">
        <is>
          <t>活规则窗口·起</t>
        </is>
      </c>
      <c r="B34" s="5" t="inlineStr">
        <is>
          <t>03:00</t>
        </is>
      </c>
      <c r="C34" s="4" t="inlineStr">
        <is>
          <t>时刻</t>
        </is>
      </c>
      <c r="D34" s="4" t="inlineStr">
        <is>
          <t>engine.js RULE</t>
        </is>
      </c>
      <c r="E34" s="6" t="inlineStr">
        <is>
          <t>窗口内回复任何消息=违规;剧本 B 重摇 03:31–03:45</t>
        </is>
      </c>
    </row>
    <row r="35">
      <c r="A35" s="4" t="inlineStr">
        <is>
          <t>活规则窗口·止</t>
        </is>
      </c>
      <c r="B35" s="5" t="inlineStr">
        <is>
          <t>03:14</t>
        </is>
      </c>
      <c r="C35" s="4" t="inlineStr">
        <is>
          <t>时刻</t>
        </is>
      </c>
      <c r="D35" s="4" t="inlineStr">
        <is>
          <t>engine.js RULE</t>
        </is>
      </c>
      <c r="E35" s="6" t="inlineStr">
        <is>
          <t>违规计数每次接入清零;首次仍 warning shot</t>
        </is>
      </c>
    </row>
    <row r="36">
      <c r="A36" s="4" t="inlineStr">
        <is>
          <t>挂标记遭遇率</t>
        </is>
      </c>
      <c r="B36" s="7" t="n">
        <v>0.25</v>
      </c>
      <c r="C36" s="4" t="inlineStr">
        <is>
          <t>概率</t>
        </is>
      </c>
      <c r="D36" s="4" t="inlineStr">
        <is>
          <t>v0.4 §0.2 / content.js</t>
        </is>
      </c>
      <c r="E36" s="6" t="inlineStr">
        <is>
          <t>开挂标记目录时掷 d100≤25 → 即时遭遇(90档)</t>
        </is>
      </c>
    </row>
    <row r="37">
      <c r="A37" s="2" t="inlineStr">
        <is>
          <t>— 判定(d100 ≤ 成功率即成功)—</t>
        </is>
      </c>
      <c r="B37" s="3" t="n"/>
      <c r="C37" s="3" t="n"/>
      <c r="D37" s="3" t="n"/>
      <c r="E37" s="3" t="n"/>
    </row>
    <row r="38">
      <c r="A38" s="4" t="inlineStr">
        <is>
          <t>判定·70档成功率</t>
        </is>
      </c>
      <c r="B38" s="5" t="n">
        <v>78</v>
      </c>
      <c r="C38" s="4" t="inlineStr">
        <is>
          <t>点</t>
        </is>
      </c>
      <c r="D38" s="4" t="inlineStr">
        <is>
          <t>engine.js CHECK.c70</t>
        </is>
      </c>
      <c r="E38" s="6" t="inlineStr"/>
    </row>
    <row r="39">
      <c r="A39" s="4" t="inlineStr">
        <is>
          <t>判定·90档成功率</t>
        </is>
      </c>
      <c r="B39" s="5" t="n">
        <v>55</v>
      </c>
      <c r="C39" s="4" t="inlineStr">
        <is>
          <t>点</t>
        </is>
      </c>
      <c r="D39" s="4" t="inlineStr">
        <is>
          <t>engine.js CHECK.c90</t>
        </is>
      </c>
      <c r="E39" s="6" t="inlineStr"/>
    </row>
    <row r="40">
      <c r="A40" s="4" t="inlineStr">
        <is>
          <t>判定·终局成功率</t>
        </is>
      </c>
      <c r="B40" s="5" t="n">
        <v>60</v>
      </c>
      <c r="C40" s="4" t="inlineStr">
        <is>
          <t>点</t>
        </is>
      </c>
      <c r="D40" s="4" t="inlineStr">
        <is>
          <t>engine.js CHECK.final</t>
        </is>
      </c>
      <c r="E40" s="6" t="inlineStr">
        <is>
          <t>教学局终局为【固定】死亡,不掷</t>
        </is>
      </c>
    </row>
    <row r="41">
      <c r="A41" s="4" t="inlineStr">
        <is>
          <t>判定·自救成功率</t>
        </is>
      </c>
      <c r="B41" s="5" t="n">
        <v>50</v>
      </c>
      <c r="C41" s="4" t="inlineStr">
        <is>
          <t>点</t>
        </is>
      </c>
      <c r="D41" s="4" t="inlineStr">
        <is>
          <t>engine.js CHECK.save</t>
        </is>
      </c>
      <c r="E41" s="6" t="inlineStr">
        <is>
          <t>教学局 #7741-A 权限不足,不可用;B 实例可用</t>
        </is>
      </c>
    </row>
    <row r="42">
      <c r="A42" s="4" t="inlineStr">
        <is>
          <t>降档·电量惩罚</t>
        </is>
      </c>
      <c r="B42" s="5" t="n">
        <v>20</v>
      </c>
      <c r="C42" s="4" t="inlineStr">
        <is>
          <t>%</t>
        </is>
      </c>
      <c r="D42" s="4" t="inlineStr">
        <is>
          <t>v0.4 §0.2 / engine.downgradeFail</t>
        </is>
      </c>
      <c r="E42" s="6" t="inlineStr">
        <is>
          <t>教学局 90 档失败降档执行 70 档表</t>
        </is>
      </c>
    </row>
    <row r="43">
      <c r="A43" s="4" t="inlineStr">
        <is>
          <t>降档·缓存损毁下限</t>
        </is>
      </c>
      <c r="B43" s="7" t="n">
        <v>0.1</v>
      </c>
      <c r="C43" s="4" t="inlineStr">
        <is>
          <t>比例</t>
        </is>
      </c>
      <c r="D43" s="4" t="inlineStr">
        <is>
          <t>engine.downgradeFail</t>
        </is>
      </c>
      <c r="E43" s="6" t="inlineStr"/>
    </row>
    <row r="44">
      <c r="A44" s="4" t="inlineStr">
        <is>
          <t>降档·缓存损毁上限</t>
        </is>
      </c>
      <c r="B44" s="7" t="n">
        <v>0.2</v>
      </c>
      <c r="C44" s="4" t="inlineStr">
        <is>
          <t>比例</t>
        </is>
      </c>
      <c r="D44" s="4" t="inlineStr">
        <is>
          <t>engine.downgradeFail</t>
        </is>
      </c>
      <c r="E44" s="6" t="inlineStr"/>
    </row>
    <row r="45">
      <c r="A45" s="4" t="inlineStr">
        <is>
          <t>降档·信号</t>
        </is>
      </c>
      <c r="B45" s="5" t="n">
        <v>10</v>
      </c>
      <c r="C45" s="4" t="inlineStr">
        <is>
          <t>点</t>
        </is>
      </c>
      <c r="D45" s="4" t="inlineStr">
        <is>
          <t>v0.4 §0.2 / engine.downgradeFail</t>
        </is>
      </c>
      <c r="E45" s="6" t="inlineStr"/>
    </row>
    <row r="46">
      <c r="A46" s="2" t="inlineStr">
        <is>
          <t>— 失真档位阈值(信号)—</t>
        </is>
      </c>
      <c r="B46" s="3" t="n"/>
      <c r="C46" s="3" t="n"/>
      <c r="D46" s="3" t="n"/>
      <c r="E46" s="3" t="n"/>
    </row>
    <row r="47">
      <c r="A47" s="4" t="inlineStr">
        <is>
          <t>失真·40档下界</t>
        </is>
      </c>
      <c r="B47" s="5" t="n">
        <v>40</v>
      </c>
      <c r="C47" s="4" t="inlineStr">
        <is>
          <t>点</t>
        </is>
      </c>
      <c r="D47" s="4" t="inlineStr">
        <is>
          <t>engine.js sigBars</t>
        </is>
      </c>
      <c r="E47" s="6" t="inlineStr">
        <is>
          <t>0–39=1格 / 40–69=2格</t>
        </is>
      </c>
    </row>
    <row r="48">
      <c r="A48" s="4" t="inlineStr">
        <is>
          <t>失真·70档下界</t>
        </is>
      </c>
      <c r="B48" s="5" t="n">
        <v>70</v>
      </c>
      <c r="C48" s="4" t="inlineStr">
        <is>
          <t>点</t>
        </is>
      </c>
      <c r="D48" s="4" t="inlineStr">
        <is>
          <t>engine.js sigBars</t>
        </is>
      </c>
      <c r="E48" s="6" t="inlineStr">
        <is>
          <t>70–89=3格</t>
        </is>
      </c>
    </row>
    <row r="49">
      <c r="A49" s="4" t="inlineStr">
        <is>
          <t>失真·90档下界</t>
        </is>
      </c>
      <c r="B49" s="5" t="n">
        <v>90</v>
      </c>
      <c r="C49" s="4" t="inlineStr">
        <is>
          <t>点</t>
        </is>
      </c>
      <c r="D49" s="4" t="inlineStr">
        <is>
          <t>engine.js sigBars</t>
        </is>
      </c>
      <c r="E49" s="6" t="inlineStr">
        <is>
          <t>90+=满格</t>
        </is>
      </c>
    </row>
    <row r="50">
      <c r="A50" s="2" t="inlineStr">
        <is>
          <t>— 缓存价值(值 / 格 成对)—</t>
        </is>
      </c>
      <c r="B50" s="3" t="n"/>
      <c r="C50" s="3" t="n"/>
      <c r="D50" s="3" t="n"/>
      <c r="E50" s="3" t="n"/>
    </row>
    <row r="51">
      <c r="A51" s="4" t="inlineStr">
        <is>
          <t>备忘条目·值</t>
        </is>
      </c>
      <c r="B51" s="5" t="n">
        <v>120</v>
      </c>
      <c r="C51" s="4" t="inlineStr">
        <is>
          <t>¥</t>
        </is>
      </c>
      <c r="D51" s="4" t="inlineStr">
        <is>
          <t>v0.4 §0.2</t>
        </is>
      </c>
      <c r="E51" s="6" t="inlineStr"/>
    </row>
    <row r="52">
      <c r="A52" s="4" t="inlineStr">
        <is>
          <t>备忘条目·格</t>
        </is>
      </c>
      <c r="B52" s="5" t="n">
        <v>2</v>
      </c>
      <c r="C52" s="4" t="inlineStr">
        <is>
          <t>格</t>
        </is>
      </c>
      <c r="D52" s="4" t="inlineStr">
        <is>
          <t>v0.4 §0.2</t>
        </is>
      </c>
      <c r="E52" s="6" t="inlineStr"/>
    </row>
    <row r="53">
      <c r="A53" s="4" t="inlineStr">
        <is>
          <t>妈线程每层深搜·值</t>
        </is>
      </c>
      <c r="B53" s="5" t="n">
        <v>120</v>
      </c>
      <c r="C53" s="4" t="inlineStr">
        <is>
          <t>¥</t>
        </is>
      </c>
      <c r="D53" s="4" t="inlineStr">
        <is>
          <t>v0.4 §0.2(聊天记录样本)</t>
        </is>
      </c>
      <c r="E53" s="6" t="inlineStr">
        <is>
          <t>本轮新增:妈线程加深至 3 层,每层 −5电 +5信号 +120(2格)</t>
        </is>
      </c>
    </row>
    <row r="54">
      <c r="A54" s="4" t="inlineStr">
        <is>
          <t>妈线程每层深搜·格</t>
        </is>
      </c>
      <c r="B54" s="5" t="n">
        <v>2</v>
      </c>
      <c r="C54" s="4" t="inlineStr">
        <is>
          <t>格</t>
        </is>
      </c>
      <c r="D54" s="4" t="inlineStr">
        <is>
          <t>v0.4 §0.2</t>
        </is>
      </c>
      <c r="E54" s="6" t="inlineStr"/>
    </row>
    <row r="55">
      <c r="A55" s="4" t="inlineStr">
        <is>
          <t>妈线程·层数上限</t>
        </is>
      </c>
      <c r="B55" s="5" t="n">
        <v>3</v>
      </c>
      <c r="C55" s="4" t="inlineStr">
        <is>
          <t>层</t>
        </is>
      </c>
      <c r="D55" s="4" t="inlineStr">
        <is>
          <t>本轮新增</t>
        </is>
      </c>
      <c r="E55" s="6" t="inlineStr"/>
    </row>
    <row r="56">
      <c r="A56" s="4" t="inlineStr">
        <is>
          <t>账单线程(8873)·值</t>
        </is>
      </c>
      <c r="B56" s="5" t="n">
        <v>150</v>
      </c>
      <c r="C56" s="4" t="inlineStr">
        <is>
          <t>¥</t>
        </is>
      </c>
      <c r="D56" s="4" t="inlineStr">
        <is>
          <t>v0.4 §0.2</t>
        </is>
      </c>
      <c r="E56" s="6" t="inlineStr"/>
    </row>
    <row r="57">
      <c r="A57" s="4" t="inlineStr">
        <is>
          <t>账单线程(8873)·格</t>
        </is>
      </c>
      <c r="B57" s="5" t="n">
        <v>2</v>
      </c>
      <c r="C57" s="4" t="inlineStr">
        <is>
          <t>格</t>
        </is>
      </c>
      <c r="D57" s="4" t="inlineStr">
        <is>
          <t>v0.4 §0.2</t>
        </is>
      </c>
      <c r="E57" s="6" t="inlineStr"/>
    </row>
    <row r="58">
      <c r="A58" s="4" t="inlineStr">
        <is>
          <t>相册深翻·第1次值</t>
        </is>
      </c>
      <c r="B58" s="5" t="n">
        <v>340</v>
      </c>
      <c r="C58" s="4" t="inlineStr">
        <is>
          <t>¥</t>
        </is>
      </c>
      <c r="D58" s="4" t="inlineStr">
        <is>
          <t>v0.4 §0.2(照片批)</t>
        </is>
      </c>
      <c r="E58" s="6" t="inlineStr"/>
    </row>
    <row r="59">
      <c r="A59" s="4" t="inlineStr">
        <is>
          <t>相册深翻·第1次格</t>
        </is>
      </c>
      <c r="B59" s="5" t="n">
        <v>4</v>
      </c>
      <c r="C59" s="4" t="inlineStr">
        <is>
          <t>格</t>
        </is>
      </c>
      <c r="D59" s="4" t="inlineStr">
        <is>
          <t>v0.4 §0.2</t>
        </is>
      </c>
      <c r="E59" s="6" t="inlineStr"/>
    </row>
    <row r="60">
      <c r="A60" s="4" t="inlineStr">
        <is>
          <t>相册深翻·第2次值</t>
        </is>
      </c>
      <c r="B60" s="5" t="n">
        <v>120</v>
      </c>
      <c r="C60" s="4" t="inlineStr">
        <is>
          <t>¥</t>
        </is>
      </c>
      <c r="D60" s="4" t="inlineStr">
        <is>
          <t>本轮新增</t>
        </is>
      </c>
      <c r="E60" s="6" t="inlineStr"/>
    </row>
    <row r="61">
      <c r="A61" s="4" t="inlineStr">
        <is>
          <t>相册深翻·第2次格</t>
        </is>
      </c>
      <c r="B61" s="5" t="n">
        <v>2</v>
      </c>
      <c r="C61" s="4" t="inlineStr">
        <is>
          <t>格</t>
        </is>
      </c>
      <c r="D61" s="4" t="inlineStr">
        <is>
          <t>本轮新增</t>
        </is>
      </c>
      <c r="E61" s="6" t="inlineStr"/>
    </row>
    <row r="62">
      <c r="A62" s="4" t="inlineStr">
        <is>
          <t>相册深翻·第3次值</t>
        </is>
      </c>
      <c r="B62" s="5" t="n">
        <v>0</v>
      </c>
      <c r="C62" s="4" t="inlineStr">
        <is>
          <t>¥</t>
        </is>
      </c>
      <c r="D62" s="4" t="inlineStr">
        <is>
          <t>本轮新增</t>
        </is>
      </c>
      <c r="E62" s="6" t="inlineStr">
        <is>
          <t>第3次到达归档边界,无收益(深搜成本照扣)</t>
        </is>
      </c>
    </row>
    <row r="63">
      <c r="A63" s="4" t="inlineStr">
        <is>
          <t>相册深翻·第3次格</t>
        </is>
      </c>
      <c r="B63" s="5" t="n">
        <v>0</v>
      </c>
      <c r="C63" s="4" t="inlineStr">
        <is>
          <t>格</t>
        </is>
      </c>
      <c r="D63" s="4" t="inlineStr">
        <is>
          <t>本轮新增</t>
        </is>
      </c>
      <c r="E63" s="6" t="inlineStr"/>
    </row>
    <row r="64">
      <c r="A64" s="4" t="inlineStr">
        <is>
          <t>柔柔线程每次上滑·值</t>
        </is>
      </c>
      <c r="B64" s="5" t="n">
        <v>240</v>
      </c>
      <c r="C64" s="4" t="inlineStr">
        <is>
          <t>¥</t>
        </is>
      </c>
      <c r="D64" s="4" t="inlineStr">
        <is>
          <t>v0.4 §0.2</t>
        </is>
      </c>
      <c r="E64" s="6" t="inlineStr">
        <is>
          <t>到达 E4 需 2–3 次上滑</t>
        </is>
      </c>
    </row>
    <row r="65">
      <c r="A65" s="4" t="inlineStr">
        <is>
          <t>柔柔线程每次上滑·格</t>
        </is>
      </c>
      <c r="B65" s="5" t="n">
        <v>4</v>
      </c>
      <c r="C65" s="4" t="inlineStr">
        <is>
          <t>格</t>
        </is>
      </c>
      <c r="D65" s="4" t="inlineStr">
        <is>
          <t>v0.4 §0.2</t>
        </is>
      </c>
      <c r="E65" s="6" t="inlineStr"/>
    </row>
    <row r="66">
      <c r="A66" s="4" t="inlineStr">
        <is>
          <t>已删除样本·值</t>
        </is>
      </c>
      <c r="B66" s="5" t="n">
        <v>700</v>
      </c>
      <c r="C66" s="4" t="inlineStr">
        <is>
          <t>¥</t>
        </is>
      </c>
      <c r="D66" s="4" t="inlineStr">
        <is>
          <t>v0.4 §0.2</t>
        </is>
      </c>
      <c r="E66" s="6" t="inlineStr">
        <is>
          <t>E5 语音备忘锁定,需解码器(B 局)</t>
        </is>
      </c>
    </row>
    <row r="67">
      <c r="A67" s="4" t="inlineStr">
        <is>
          <t>已删除样本·格</t>
        </is>
      </c>
      <c r="B67" s="5" t="n">
        <v>6</v>
      </c>
      <c r="C67" s="4" t="inlineStr">
        <is>
          <t>格</t>
        </is>
      </c>
      <c r="D67" s="4" t="inlineStr">
        <is>
          <t>v0.4 §0.2</t>
        </is>
      </c>
      <c r="E67" s="6" t="inlineStr"/>
    </row>
    <row r="68">
      <c r="A68" s="4" t="inlineStr">
        <is>
          <t>录音 REC_047·值</t>
        </is>
      </c>
      <c r="B68" s="5" t="n">
        <v>150</v>
      </c>
      <c r="C68" s="4" t="inlineStr">
        <is>
          <t>¥</t>
        </is>
      </c>
      <c r="D68" s="4" t="inlineStr">
        <is>
          <t>本轮新增</t>
        </is>
      </c>
      <c r="E68" s="6" t="inlineStr">
        <is>
          <t>播放取样</t>
        </is>
      </c>
    </row>
    <row r="69">
      <c r="A69" s="4" t="inlineStr">
        <is>
          <t>录音 REC_047·格</t>
        </is>
      </c>
      <c r="B69" s="5" t="n">
        <v>2</v>
      </c>
      <c r="C69" s="4" t="inlineStr">
        <is>
          <t>格</t>
        </is>
      </c>
      <c r="D69" s="4" t="inlineStr">
        <is>
          <t>本轮新增</t>
        </is>
      </c>
      <c r="E69" s="6" t="inlineStr"/>
    </row>
    <row r="70">
      <c r="A70" s="4" t="inlineStr">
        <is>
          <t>录音 REC_012·值</t>
        </is>
      </c>
      <c r="B70" s="5" t="n">
        <v>120</v>
      </c>
      <c r="C70" s="4" t="inlineStr">
        <is>
          <t>¥</t>
        </is>
      </c>
      <c r="D70" s="4" t="inlineStr">
        <is>
          <t>本轮新增</t>
        </is>
      </c>
      <c r="E70" s="6" t="inlineStr"/>
    </row>
    <row r="71">
      <c r="A71" s="4" t="inlineStr">
        <is>
          <t>录音 REC_012·格</t>
        </is>
      </c>
      <c r="B71" s="5" t="n">
        <v>2</v>
      </c>
      <c r="C71" s="4" t="inlineStr">
        <is>
          <t>格</t>
        </is>
      </c>
      <c r="D71" s="4" t="inlineStr">
        <is>
          <t>本轮新增</t>
        </is>
      </c>
      <c r="E71" s="6" t="inlineStr"/>
    </row>
    <row r="72">
      <c r="A72" s="2" t="inlineStr">
        <is>
          <t>— 上传 —</t>
        </is>
      </c>
      <c r="B72" s="3" t="n"/>
      <c r="C72" s="3" t="n"/>
      <c r="D72" s="3" t="n"/>
      <c r="E72" s="3" t="n"/>
    </row>
    <row r="73">
      <c r="A73" s="4" t="inlineStr">
        <is>
          <t>上传回合分母</t>
        </is>
      </c>
      <c r="B73" s="5" t="n">
        <v>10</v>
      </c>
      <c r="C73" s="4" t="inlineStr">
        <is>
          <t>格/回合</t>
        </is>
      </c>
      <c r="D73" s="4" t="inlineStr">
        <is>
          <t>v0.4 §5.1</t>
        </is>
      </c>
      <c r="E73" s="6" t="inlineStr">
        <is>
          <t>上传回合数 = CEIL(缓存格数 / 10);每回合成本见动作成本·电量/信号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10" customWidth="1" min="3" max="3"/>
    <col width="8" customWidth="1" min="4" max="4"/>
    <col width="8" customWidth="1" min="5" max="5"/>
    <col width="9" customWidth="1" min="6" max="6"/>
    <col width="34" customWidth="1" min="7" max="7"/>
    <col width="52" customWidth="1" min="8" max="8"/>
  </cols>
  <sheetData>
    <row r="1">
      <c r="A1" s="1" t="inlineStr">
        <is>
          <t>动作</t>
        </is>
      </c>
      <c r="B1" s="1" t="inlineStr">
        <is>
          <t>电量</t>
        </is>
      </c>
      <c r="C1" s="1" t="inlineStr">
        <is>
          <t>信号</t>
        </is>
      </c>
      <c r="D1" s="1" t="inlineStr">
        <is>
          <t>缓存格</t>
        </is>
      </c>
      <c r="E1" s="1" t="inlineStr">
        <is>
          <t>缓存值</t>
        </is>
      </c>
      <c r="F1" s="1" t="inlineStr">
        <is>
          <t>时钟(分)</t>
        </is>
      </c>
      <c r="G1" s="1" t="inlineStr">
        <is>
          <t>风险与判定</t>
        </is>
      </c>
      <c r="H1" s="1" t="inlineStr">
        <is>
          <t>备注</t>
        </is>
      </c>
    </row>
    <row r="2">
      <c r="A2" s="4" t="inlineStr">
        <is>
          <t>打开目录</t>
        </is>
      </c>
      <c r="B2" s="8">
        <f>-参数!$B$13</f>
        <v/>
      </c>
      <c r="C2" s="8">
        <f>参数!$B$25</f>
        <v/>
      </c>
      <c r="D2" s="8" t="inlineStr">
        <is>
          <t>—</t>
        </is>
      </c>
      <c r="E2" s="8" t="inlineStr">
        <is>
          <t>—</t>
        </is>
      </c>
      <c r="F2" s="8">
        <f>参数!$B$6</f>
        <v/>
      </c>
      <c r="G2" s="4" t="inlineStr">
        <is>
          <t>无</t>
        </is>
      </c>
      <c r="H2" s="4" t="inlineStr">
        <is>
          <t>被动信号:每打开一个目录 +4(v0.4 §0.2)</t>
        </is>
      </c>
    </row>
    <row r="3">
      <c r="A3" s="4" t="inlineStr">
        <is>
          <t>打开条目(读一条)</t>
        </is>
      </c>
      <c r="B3" s="8">
        <f>-参数!$B$14</f>
        <v/>
      </c>
      <c r="C3" s="8" t="n">
        <v>0</v>
      </c>
      <c r="D3" s="8" t="inlineStr">
        <is>
          <t>见各条目</t>
        </is>
      </c>
      <c r="E3" s="8" t="inlineStr">
        <is>
          <t>见各条目</t>
        </is>
      </c>
      <c r="F3" s="8">
        <f>参数!$B$6</f>
        <v/>
      </c>
      <c r="G3" s="4" t="inlineStr">
        <is>
          <t>无</t>
        </is>
      </c>
      <c r="H3" s="4" t="inlineStr">
        <is>
          <t>缓存收益见下方各条目行(备忘/账单/录音)</t>
        </is>
      </c>
    </row>
    <row r="4">
      <c r="A4" s="4" t="inlineStr">
        <is>
          <t>深搜(上滑/翻页/解码)</t>
        </is>
      </c>
      <c r="B4" s="8">
        <f>-参数!$B$15</f>
        <v/>
      </c>
      <c r="C4" s="8">
        <f>参数!$B$26</f>
        <v/>
      </c>
      <c r="D4" s="8" t="inlineStr">
        <is>
          <t>见各格</t>
        </is>
      </c>
      <c r="E4" s="8" t="inlineStr">
        <is>
          <t>见各格</t>
        </is>
      </c>
      <c r="F4" s="8">
        <f>参数!$B$6</f>
        <v/>
      </c>
      <c r="G4" s="4" t="inlineStr">
        <is>
          <t>无</t>
        </is>
      </c>
      <c r="H4" s="4" t="inlineStr">
        <is>
          <t>缓存收益见下方各线程/相册行</t>
        </is>
      </c>
    </row>
    <row r="5">
      <c r="A5" s="4" t="inlineStr">
        <is>
          <t>侦察</t>
        </is>
      </c>
      <c r="B5" s="8">
        <f>-参数!$B$16</f>
        <v/>
      </c>
      <c r="C5" s="8" t="n">
        <v>0</v>
      </c>
      <c r="D5" s="8" t="inlineStr">
        <is>
          <t>—</t>
        </is>
      </c>
      <c r="E5" s="8" t="inlineStr">
        <is>
          <t>—</t>
        </is>
      </c>
      <c r="F5" s="8">
        <f>参数!$B$6</f>
        <v/>
      </c>
      <c r="G5" s="4" t="inlineStr">
        <is>
          <t>无</t>
        </is>
      </c>
      <c r="H5" s="4" t="inlineStr"/>
    </row>
    <row r="6">
      <c r="A6" s="4" t="inlineStr">
        <is>
          <t>开挂标记目录(已删除)</t>
        </is>
      </c>
      <c r="B6" s="8">
        <f>-参数!$B$17</f>
        <v/>
      </c>
      <c r="C6" s="8">
        <f>参数!$B$27</f>
        <v/>
      </c>
      <c r="D6" s="8">
        <f>参数!$B$67</f>
        <v/>
      </c>
      <c r="E6" s="8">
        <f>参数!$B$66</f>
        <v/>
      </c>
      <c r="F6" s="8">
        <f>参数!$B$6</f>
        <v/>
      </c>
      <c r="G6" s="4">
        <f>"掷 d100≤"&amp;参数!$B$36*100&amp;" → 即时遭遇(90档)"</f>
        <v/>
      </c>
      <c r="H6" s="4" t="inlineStr">
        <is>
          <t>教学局遭遇【真掷】,失败降档执行 70 档表(见判定表)</t>
        </is>
      </c>
    </row>
    <row r="7">
      <c r="A7" s="4" t="inlineStr">
        <is>
          <t>回复系统线程</t>
        </is>
      </c>
      <c r="B7" s="8">
        <f>-参数!$B$18</f>
        <v/>
      </c>
      <c r="C7" s="8" t="n">
        <v>0</v>
      </c>
      <c r="D7" s="8" t="inlineStr">
        <is>
          <t>—</t>
        </is>
      </c>
      <c r="E7" s="8" t="inlineStr">
        <is>
          <t>—</t>
        </is>
      </c>
      <c r="F7" s="8">
        <f>参数!$B$6</f>
        <v/>
      </c>
      <c r="G7" s="4" t="inlineStr">
        <is>
          <t>无</t>
        </is>
      </c>
      <c r="H7" s="4" t="inlineStr">
        <is>
          <t>采样协议的回复不计违规、不计回复实体(v0.4 §0.2 登记)</t>
        </is>
      </c>
    </row>
    <row r="8">
      <c r="A8" s="4" t="inlineStr">
        <is>
          <t>回复实体(窗口外)</t>
        </is>
      </c>
      <c r="B8" s="8">
        <f>-参数!$B$18</f>
        <v/>
      </c>
      <c r="C8" s="8" t="n">
        <v>0</v>
      </c>
      <c r="D8" s="8" t="inlineStr">
        <is>
          <t>—</t>
        </is>
      </c>
      <c r="E8" s="8" t="inlineStr">
        <is>
          <t>—</t>
        </is>
      </c>
      <c r="F8" s="8">
        <f>参数!$B$6</f>
        <v/>
      </c>
      <c r="G8" s="4" t="inlineStr">
        <is>
          <t>无</t>
        </is>
      </c>
      <c r="H8" s="4" t="inlineStr">
        <is>
          <t>本实例登记信号为 0</t>
        </is>
      </c>
    </row>
    <row r="9">
      <c r="A9" s="4" t="inlineStr">
        <is>
          <t>窗口内回复·首次(违规)</t>
        </is>
      </c>
      <c r="B9" s="8">
        <f>-参数!$B$18</f>
        <v/>
      </c>
      <c r="C9" s="8">
        <f>参数!$B$32</f>
        <v/>
      </c>
      <c r="D9" s="8" t="inlineStr">
        <is>
          <t>—</t>
        </is>
      </c>
      <c r="E9" s="8" t="inlineStr">
        <is>
          <t>—</t>
        </is>
      </c>
      <c r="F9" s="8">
        <f>参数!$B$6</f>
        <v/>
      </c>
      <c r="G9" s="4" t="inlineStr">
        <is>
          <t>warning shot,非致死</t>
        </is>
      </c>
      <c r="H9" s="4" t="inlineStr">
        <is>
          <t>回执翻转演出:已送达→未送达→已送达;违规计数每次接入清零</t>
        </is>
      </c>
    </row>
    <row r="10">
      <c r="A10" s="4" t="inlineStr">
        <is>
          <t>窗口内回复·二次(违规)</t>
        </is>
      </c>
      <c r="B10" s="8">
        <f>-参数!$B$18</f>
        <v/>
      </c>
      <c r="C10" s="8">
        <f>参数!$B$33</f>
        <v/>
      </c>
      <c r="D10" s="8" t="inlineStr">
        <is>
          <t>—</t>
        </is>
      </c>
      <c r="E10" s="8" t="inlineStr">
        <is>
          <t>—</t>
        </is>
      </c>
      <c r="F10" s="8">
        <f>参数!$B$6</f>
        <v/>
      </c>
      <c r="G10" s="4" t="inlineStr">
        <is>
          <t>即时遭遇(90档)【真掷,失败降档】</t>
        </is>
      </c>
      <c r="H10" s="4" t="inlineStr">
        <is>
          <t>活规则窗口见参数表(本实例 03:00–03:14)</t>
        </is>
      </c>
    </row>
    <row r="11">
      <c r="A11" s="4" t="inlineStr">
        <is>
          <t>上传(每回合)</t>
        </is>
      </c>
      <c r="B11" s="8">
        <f>-参数!$B$19</f>
        <v/>
      </c>
      <c r="C11" s="8">
        <f>参数!$B$28</f>
        <v/>
      </c>
      <c r="D11" s="8" t="inlineStr">
        <is>
          <t>—</t>
        </is>
      </c>
      <c r="E11" s="8" t="inlineStr">
        <is>
          <t>—</t>
        </is>
      </c>
      <c r="F11" s="8">
        <f>参数!$B$6</f>
        <v/>
      </c>
      <c r="G11" s="4" t="inlineStr">
        <is>
          <t>R2 达 92% 被定位【固定】→ 终局</t>
        </is>
      </c>
      <c r="H11" s="4" t="inlineStr">
        <is>
          <t>回合数 = CEIL(缓存格/10);备忘承诺:上传前电量 ≥ 三成</t>
        </is>
      </c>
    </row>
    <row r="12">
      <c r="A12" s="4" t="inlineStr">
        <is>
          <t>原地等待</t>
        </is>
      </c>
      <c r="B12" s="8">
        <f>-参数!$B$20</f>
        <v/>
      </c>
      <c r="C12" s="8" t="n">
        <v>0</v>
      </c>
      <c r="D12" s="8" t="inlineStr">
        <is>
          <t>—</t>
        </is>
      </c>
      <c r="E12" s="8" t="inlineStr">
        <is>
          <t>—</t>
        </is>
      </c>
      <c r="F12" s="8">
        <f>参数!$B$6</f>
        <v/>
      </c>
      <c r="G12" s="4" t="inlineStr">
        <is>
          <t>无</t>
        </is>
      </c>
      <c r="H12" s="4" t="inlineStr">
        <is>
          <t>等待=一个动作:时钟+4,被动信号照走(v0.4 §0.1)</t>
        </is>
      </c>
    </row>
    <row r="13">
      <c r="A13" s="4" t="inlineStr">
        <is>
          <t>缓存清洗(道具)</t>
        </is>
      </c>
      <c r="B13" s="8">
        <f>-参数!$B$23</f>
        <v/>
      </c>
      <c r="C13" s="8">
        <f>参数!$B$30</f>
        <v/>
      </c>
      <c r="D13" s="8" t="inlineStr">
        <is>
          <t>—</t>
        </is>
      </c>
      <c r="E13" s="8" t="inlineStr">
        <is>
          <t>—</t>
        </is>
      </c>
      <c r="F13" s="8">
        <f>参数!$B$6</f>
        <v/>
      </c>
      <c r="G13" s="4" t="inlineStr">
        <is>
          <t>无</t>
        </is>
      </c>
      <c r="H13" s="4" t="inlineStr">
        <is>
          <t>唯一降信号手段;B 局漂流瓶来源,不占缓存格</t>
        </is>
      </c>
    </row>
    <row r="14">
      <c r="A14" s="4" t="inlineStr">
        <is>
          <t>拨打电话</t>
        </is>
      </c>
      <c r="B14" s="8">
        <f>-参数!$B$21</f>
        <v/>
      </c>
      <c r="C14" s="8">
        <f>参数!$B$29</f>
        <v/>
      </c>
      <c r="D14" s="8" t="inlineStr">
        <is>
          <t>—</t>
        </is>
      </c>
      <c r="E14" s="8" t="inlineStr">
        <is>
          <t>—</t>
        </is>
      </c>
      <c r="F14" s="8">
        <f>参数!$B$6</f>
        <v/>
      </c>
      <c r="G14" s="4" t="inlineStr">
        <is>
          <t>无</t>
        </is>
      </c>
      <c r="H14" s="4" t="inlineStr">
        <is>
          <t>本轮新增;拨给通讯录任意人;不属于「回复消息」,不走违规经济(窗口内拨打亦不违规)</t>
        </is>
      </c>
    </row>
    <row r="15">
      <c r="A15" s="4" t="inlineStr">
        <is>
          <t>播放录音·REC_047</t>
        </is>
      </c>
      <c r="B15" s="8">
        <f>-参数!$B$22</f>
        <v/>
      </c>
      <c r="C15" s="8" t="n">
        <v>0</v>
      </c>
      <c r="D15" s="8">
        <f>参数!$B$69</f>
        <v/>
      </c>
      <c r="E15" s="8">
        <f>参数!$B$68</f>
        <v/>
      </c>
      <c r="F15" s="8">
        <f>参数!$B$6</f>
        <v/>
      </c>
      <c r="G15" s="4" t="inlineStr">
        <is>
          <t>无</t>
        </is>
      </c>
      <c r="H15" s="4" t="inlineStr">
        <is>
          <t>本轮新增</t>
        </is>
      </c>
    </row>
    <row r="16">
      <c r="A16" s="4" t="inlineStr">
        <is>
          <t>播放录音·REC_012</t>
        </is>
      </c>
      <c r="B16" s="8">
        <f>-参数!$B$22</f>
        <v/>
      </c>
      <c r="C16" s="8" t="n">
        <v>0</v>
      </c>
      <c r="D16" s="8">
        <f>参数!$B$71</f>
        <v/>
      </c>
      <c r="E16" s="8">
        <f>参数!$B$70</f>
        <v/>
      </c>
      <c r="F16" s="8">
        <f>参数!$B$6</f>
        <v/>
      </c>
      <c r="G16" s="4" t="inlineStr">
        <is>
          <t>无</t>
        </is>
      </c>
      <c r="H16" s="4" t="inlineStr">
        <is>
          <t>本轮新增</t>
        </is>
      </c>
    </row>
    <row r="17">
      <c r="A17" s="4" t="inlineStr">
        <is>
          <t>妈线程深搜(每层)</t>
        </is>
      </c>
      <c r="B17" s="8">
        <f>-参数!$B$15</f>
        <v/>
      </c>
      <c r="C17" s="8">
        <f>参数!$B$26</f>
        <v/>
      </c>
      <c r="D17" s="8">
        <f>参数!$B$54</f>
        <v/>
      </c>
      <c r="E17" s="8">
        <f>参数!$B$53</f>
        <v/>
      </c>
      <c r="F17" s="8">
        <f>参数!$B$6</f>
        <v/>
      </c>
      <c r="G17" s="4" t="inlineStr">
        <is>
          <t>无</t>
        </is>
      </c>
      <c r="H17" s="4" t="inlineStr">
        <is>
          <t>本轮新增:加深至 3 层(层数上限见参数表)</t>
        </is>
      </c>
    </row>
    <row r="18">
      <c r="A18" s="4" t="inlineStr">
        <is>
          <t>相册深翻·第1次</t>
        </is>
      </c>
      <c r="B18" s="8">
        <f>-参数!$B$15</f>
        <v/>
      </c>
      <c r="C18" s="8">
        <f>参数!$B$26</f>
        <v/>
      </c>
      <c r="D18" s="8">
        <f>参数!$B$59</f>
        <v/>
      </c>
      <c r="E18" s="8">
        <f>参数!$B$58</f>
        <v/>
      </c>
      <c r="F18" s="8">
        <f>参数!$B$6</f>
        <v/>
      </c>
      <c r="G18" s="4" t="inlineStr">
        <is>
          <t>无</t>
        </is>
      </c>
      <c r="H18" s="4" t="inlineStr"/>
    </row>
    <row r="19">
      <c r="A19" s="4" t="inlineStr">
        <is>
          <t>相册深翻·第2次</t>
        </is>
      </c>
      <c r="B19" s="8">
        <f>-参数!$B$15</f>
        <v/>
      </c>
      <c r="C19" s="8">
        <f>参数!$B$26</f>
        <v/>
      </c>
      <c r="D19" s="8">
        <f>参数!$B$61</f>
        <v/>
      </c>
      <c r="E19" s="8">
        <f>参数!$B$60</f>
        <v/>
      </c>
      <c r="F19" s="8">
        <f>参数!$B$6</f>
        <v/>
      </c>
      <c r="G19" s="4" t="inlineStr">
        <is>
          <t>无</t>
        </is>
      </c>
      <c r="H19" s="4" t="inlineStr">
        <is>
          <t>本轮新增</t>
        </is>
      </c>
    </row>
    <row r="20">
      <c r="A20" s="4" t="inlineStr">
        <is>
          <t>相册深翻·第3次</t>
        </is>
      </c>
      <c r="B20" s="8">
        <f>-参数!$B$15</f>
        <v/>
      </c>
      <c r="C20" s="8">
        <f>参数!$B$26</f>
        <v/>
      </c>
      <c r="D20" s="8">
        <f>参数!$B$63</f>
        <v/>
      </c>
      <c r="E20" s="8">
        <f>参数!$B$62</f>
        <v/>
      </c>
      <c r="F20" s="8">
        <f>参数!$B$6</f>
        <v/>
      </c>
      <c r="G20" s="4" t="inlineStr">
        <is>
          <t>无</t>
        </is>
      </c>
      <c r="H20" s="4" t="inlineStr">
        <is>
          <t>本轮新增:归档边界,无收益(深搜成本照扣)</t>
        </is>
      </c>
    </row>
    <row r="21">
      <c r="A21" s="4" t="inlineStr">
        <is>
          <t>柔柔线程上滑(每屏)</t>
        </is>
      </c>
      <c r="B21" s="8">
        <f>-参数!$B$15</f>
        <v/>
      </c>
      <c r="C21" s="8">
        <f>参数!$B$26</f>
        <v/>
      </c>
      <c r="D21" s="8">
        <f>参数!$B$65</f>
        <v/>
      </c>
      <c r="E21" s="8">
        <f>参数!$B$64</f>
        <v/>
      </c>
      <c r="F21" s="8">
        <f>参数!$B$6</f>
        <v/>
      </c>
      <c r="G21" s="4" t="inlineStr">
        <is>
          <t>无</t>
        </is>
      </c>
      <c r="H21" s="4" t="inlineStr">
        <is>
          <t>到达 E4 需 2–3 次上滑</t>
        </is>
      </c>
    </row>
    <row r="22">
      <c r="A22" s="9" t="inlineStr">
        <is>
          <t>力竭(结算态,非动作)</t>
        </is>
      </c>
      <c r="B22" s="8" t="inlineStr">
        <is>
          <t>—</t>
        </is>
      </c>
      <c r="C22" s="8" t="inlineStr">
        <is>
          <t>—</t>
        </is>
      </c>
      <c r="D22" s="8" t="inlineStr">
        <is>
          <t>—</t>
        </is>
      </c>
      <c r="E22" s="8" t="inlineStr">
        <is>
          <t>—</t>
        </is>
      </c>
      <c r="F22" s="8" t="inlineStr">
        <is>
          <t>—</t>
        </is>
      </c>
      <c r="G22" s="4" t="inlineStr">
        <is>
          <t>电量归 0 → 死亡</t>
        </is>
      </c>
      <c r="H22" s="4" t="inlineStr">
        <is>
          <t>本轮新增结算态:缓存散佚,同死亡全损;不掷骰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8" customWidth="1" min="3" max="3"/>
    <col width="8" customWidth="1" min="4" max="4"/>
    <col width="8" customWidth="1" min="5" max="5"/>
    <col width="9" customWidth="1" min="6" max="6"/>
    <col width="13" customWidth="1" min="7" max="7"/>
    <col width="10" customWidth="1" min="8" max="8"/>
    <col width="11" customWidth="1" min="9" max="9"/>
    <col width="8" customWidth="1" min="10" max="10"/>
    <col width="8" customWidth="1" min="11" max="11"/>
    <col width="46" customWidth="1" min="12" max="12"/>
  </cols>
  <sheetData>
    <row r="1">
      <c r="A1" s="1" t="inlineStr">
        <is>
          <t>步骤</t>
        </is>
      </c>
      <c r="B1" s="1" t="inlineStr">
        <is>
          <t>动作</t>
        </is>
      </c>
      <c r="C1" s="1" t="inlineStr">
        <is>
          <t>电量Δ</t>
        </is>
      </c>
      <c r="D1" s="1" t="inlineStr">
        <is>
          <t>电量余</t>
        </is>
      </c>
      <c r="E1" s="1" t="inlineStr">
        <is>
          <t>信号Δ</t>
        </is>
      </c>
      <c r="F1" s="1" t="inlineStr">
        <is>
          <t>信号累计</t>
        </is>
      </c>
      <c r="G1" s="1" t="inlineStr">
        <is>
          <t>所在档位</t>
        </is>
      </c>
      <c r="H1" s="1" t="inlineStr">
        <is>
          <t>缓存格累计</t>
        </is>
      </c>
      <c r="I1" s="1" t="inlineStr">
        <is>
          <t>缓存值累计</t>
        </is>
      </c>
      <c r="J1" s="1" t="inlineStr">
        <is>
          <t>时钟</t>
        </is>
      </c>
      <c r="K1" s="1" t="inlineStr">
        <is>
          <t>检查</t>
        </is>
      </c>
      <c r="L1" s="1" t="inlineStr">
        <is>
          <t>备注</t>
        </is>
      </c>
    </row>
    <row r="2">
      <c r="A2" s="8" t="n">
        <v>0</v>
      </c>
      <c r="B2" s="4" t="inlineStr">
        <is>
          <t>开机+主菜单(不计费)</t>
        </is>
      </c>
      <c r="C2" s="8" t="n">
        <v>0</v>
      </c>
      <c r="D2" s="8">
        <f>参数!$B$3</f>
        <v/>
      </c>
      <c r="E2" s="8" t="n">
        <v>0</v>
      </c>
      <c r="F2" s="8" t="n">
        <v>0</v>
      </c>
      <c r="G2" s="4">
        <f>IF(F2&gt;=参数!$B$49,"90+ ▂▄▆█",IF(F2&gt;=参数!$B$48,"70–89 ▂▄▆",IF(F2&gt;=参数!$B$47,"40–69 ▂▄","0–39 ▂")))</f>
        <v/>
      </c>
      <c r="H2" s="8" t="n">
        <v>0</v>
      </c>
      <c r="I2" s="8" t="n">
        <v>0</v>
      </c>
      <c r="J2" s="10">
        <f>TIME(参数!$B$4,参数!$B$5,0)</f>
        <v/>
      </c>
      <c r="K2" s="8">
        <f>IF(D2&gt;=0,"PASS","FAIL")</f>
        <v/>
      </c>
      <c r="L2" s="4" t="inlineStr">
        <is>
          <t>连续导航不单独计格/扣电(v0.4 §1)</t>
        </is>
      </c>
    </row>
    <row r="3">
      <c r="A3" s="8" t="n">
        <v>1</v>
      </c>
      <c r="B3" s="4" t="inlineStr">
        <is>
          <t>格1 采样协议·回复「收到」</t>
        </is>
      </c>
      <c r="C3" s="8">
        <f>-(参数!$B$13+参数!$B$18)</f>
        <v/>
      </c>
      <c r="D3" s="8">
        <f>D2+C3</f>
        <v/>
      </c>
      <c r="E3" s="8">
        <f>参数!$B$25</f>
        <v/>
      </c>
      <c r="F3" s="8">
        <f>MIN(F2+E3,参数!$B$7)</f>
        <v/>
      </c>
      <c r="G3" s="4">
        <f>IF(F3&gt;=参数!$B$49,"90+ ▂▄▆█",IF(F3&gt;=参数!$B$48,"70–89 ▂▄▆",IF(F3&gt;=参数!$B$47,"40–69 ▂▄","0–39 ▂")))</f>
        <v/>
      </c>
      <c r="H3" s="8">
        <f>H2</f>
        <v/>
      </c>
      <c r="I3" s="8">
        <f>I2</f>
        <v/>
      </c>
      <c r="J3" s="10">
        <f>J2+参数!$B$6/1440</f>
        <v/>
      </c>
      <c r="K3" s="8">
        <f>IF(D3&gt;=0,"PASS","FAIL")</f>
        <v/>
      </c>
      <c r="L3" s="4" t="inlineStr">
        <is>
          <t>打开目录+回复;系统线程回复不计违规</t>
        </is>
      </c>
    </row>
    <row r="4">
      <c r="A4" s="8" t="n">
        <v>2</v>
      </c>
      <c r="B4" s="4" t="inlineStr">
        <is>
          <t>格2 打开备忘录</t>
        </is>
      </c>
      <c r="C4" s="8">
        <f>-参数!$B$13</f>
        <v/>
      </c>
      <c r="D4" s="8">
        <f>D3+C4</f>
        <v/>
      </c>
      <c r="E4" s="8">
        <f>参数!$B$25</f>
        <v/>
      </c>
      <c r="F4" s="8">
        <f>MIN(F3+E4,参数!$B$7)</f>
        <v/>
      </c>
      <c r="G4" s="4">
        <f>IF(F4&gt;=参数!$B$49,"90+ ▂▄▆█",IF(F4&gt;=参数!$B$48,"70–89 ▂▄▆",IF(F4&gt;=参数!$B$47,"40–69 ▂▄","0–39 ▂")))</f>
        <v/>
      </c>
      <c r="H4" s="8">
        <f>H3</f>
        <v/>
      </c>
      <c r="I4" s="8">
        <f>I3</f>
        <v/>
      </c>
      <c r="J4" s="10">
        <f>J3+参数!$B$6/1440</f>
        <v/>
      </c>
      <c r="K4" s="8">
        <f>IF(D4&gt;=0,"PASS","FAIL")</f>
        <v/>
      </c>
      <c r="L4" s="4" t="inlineStr"/>
    </row>
    <row r="5">
      <c r="A5" s="8" t="n">
        <v>3</v>
      </c>
      <c r="B5" s="4" t="inlineStr">
        <is>
          <t>格2 读备忘1「还款」</t>
        </is>
      </c>
      <c r="C5" s="8">
        <f>-参数!$B$14</f>
        <v/>
      </c>
      <c r="D5" s="8">
        <f>D4+C5</f>
        <v/>
      </c>
      <c r="E5" s="8" t="n">
        <v>0</v>
      </c>
      <c r="F5" s="8">
        <f>MIN(F4+E5,参数!$B$7)</f>
        <v/>
      </c>
      <c r="G5" s="4">
        <f>IF(F5&gt;=参数!$B$49,"90+ ▂▄▆█",IF(F5&gt;=参数!$B$48,"70–89 ▂▄▆",IF(F5&gt;=参数!$B$47,"40–69 ▂▄","0–39 ▂")))</f>
        <v/>
      </c>
      <c r="H5" s="8">
        <f>H4+参数!$B$52</f>
        <v/>
      </c>
      <c r="I5" s="8">
        <f>I4+参数!$B$51</f>
        <v/>
      </c>
      <c r="J5" s="10">
        <f>J4+参数!$B$6/1440</f>
        <v/>
      </c>
      <c r="K5" s="8">
        <f>IF(D5&gt;=0,"PASS","FAIL")</f>
        <v/>
      </c>
      <c r="L5" s="4" t="inlineStr">
        <is>
          <t>首件数据入缓存</t>
        </is>
      </c>
    </row>
    <row r="6">
      <c r="A6" s="8" t="n">
        <v>4</v>
      </c>
      <c r="B6" s="4" t="inlineStr">
        <is>
          <t>格2 读备忘2「给下一个」</t>
        </is>
      </c>
      <c r="C6" s="8">
        <f>-参数!$B$14</f>
        <v/>
      </c>
      <c r="D6" s="8">
        <f>D5+C6</f>
        <v/>
      </c>
      <c r="E6" s="8" t="n">
        <v>0</v>
      </c>
      <c r="F6" s="8">
        <f>MIN(F5+E6,参数!$B$7)</f>
        <v/>
      </c>
      <c r="G6" s="4">
        <f>IF(F6&gt;=参数!$B$49,"90+ ▂▄▆█",IF(F6&gt;=参数!$B$48,"70–89 ▂▄▆",IF(F6&gt;=参数!$B$47,"40–69 ▂▄","0–39 ▂")))</f>
        <v/>
      </c>
      <c r="H6" s="8">
        <f>H5+参数!$B$52</f>
        <v/>
      </c>
      <c r="I6" s="8">
        <f>I5+参数!$B$51</f>
        <v/>
      </c>
      <c r="J6" s="10">
        <f>J5+参数!$B$6/1440</f>
        <v/>
      </c>
      <c r="K6" s="8">
        <f>IF(D6&gt;=0,"PASS","FAIL")</f>
        <v/>
      </c>
      <c r="L6" s="4" t="inlineStr">
        <is>
          <t>线索①:规则形状;「电量留三成给上传」承诺在此</t>
        </is>
      </c>
    </row>
    <row r="7">
      <c r="A7" s="8" t="n">
        <v>5</v>
      </c>
      <c r="B7" s="4" t="inlineStr">
        <is>
          <t>格3 打开通讯录</t>
        </is>
      </c>
      <c r="C7" s="8">
        <f>-参数!$B$13</f>
        <v/>
      </c>
      <c r="D7" s="8">
        <f>D6+C7</f>
        <v/>
      </c>
      <c r="E7" s="8">
        <f>参数!$B$25</f>
        <v/>
      </c>
      <c r="F7" s="8">
        <f>MIN(F6+E7,参数!$B$7)</f>
        <v/>
      </c>
      <c r="G7" s="4">
        <f>IF(F7&gt;=参数!$B$49,"90+ ▂▄▆█",IF(F7&gt;=参数!$B$48,"70–89 ▂▄▆",IF(F7&gt;=参数!$B$47,"40–69 ▂▄","0–39 ▂")))</f>
        <v/>
      </c>
      <c r="H7" s="8">
        <f>H6</f>
        <v/>
      </c>
      <c r="I7" s="8">
        <f>I6</f>
        <v/>
      </c>
      <c r="J7" s="10">
        <f>J6+参数!$B$6/1440</f>
        <v/>
      </c>
      <c r="K7" s="8">
        <f>IF(D7&gt;=0,"PASS","FAIL")</f>
        <v/>
      </c>
      <c r="L7" s="4" t="inlineStr">
        <is>
          <t>线索②:每日提醒 03:00(窗口起点)</t>
        </is>
      </c>
    </row>
    <row r="8">
      <c r="A8" s="8" t="n">
        <v>6</v>
      </c>
      <c r="B8" s="4" t="inlineStr">
        <is>
          <t>格4 打开妈线程</t>
        </is>
      </c>
      <c r="C8" s="8">
        <f>-参数!$B$13</f>
        <v/>
      </c>
      <c r="D8" s="8">
        <f>D7+C8</f>
        <v/>
      </c>
      <c r="E8" s="8">
        <f>参数!$B$25</f>
        <v/>
      </c>
      <c r="F8" s="8">
        <f>MIN(F7+E8,参数!$B$7)</f>
        <v/>
      </c>
      <c r="G8" s="4">
        <f>IF(F8&gt;=参数!$B$49,"90+ ▂▄▆█",IF(F8&gt;=参数!$B$48,"70–89 ▂▄▆",IF(F8&gt;=参数!$B$47,"40–69 ▂▄","0–39 ▂")))</f>
        <v/>
      </c>
      <c r="H8" s="8">
        <f>H7</f>
        <v/>
      </c>
      <c r="I8" s="8">
        <f>I7</f>
        <v/>
      </c>
      <c r="J8" s="10">
        <f>J7+参数!$B$6/1440</f>
        <v/>
      </c>
      <c r="K8" s="8">
        <f>IF(D8&gt;=0,"PASS","FAIL")</f>
        <v/>
      </c>
      <c r="L8" s="4" t="inlineStr">
        <is>
          <t>E1 真相钩子</t>
        </is>
      </c>
    </row>
    <row r="9">
      <c r="A9" s="8" t="n">
        <v>7</v>
      </c>
      <c r="B9" s="4" t="inlineStr">
        <is>
          <t>格4 妈线程·深搜层1</t>
        </is>
      </c>
      <c r="C9" s="8">
        <f>-参数!$B$15</f>
        <v/>
      </c>
      <c r="D9" s="8">
        <f>D8+C9</f>
        <v/>
      </c>
      <c r="E9" s="8">
        <f>参数!$B$26</f>
        <v/>
      </c>
      <c r="F9" s="8">
        <f>MIN(F8+E9,参数!$B$7)</f>
        <v/>
      </c>
      <c r="G9" s="4">
        <f>IF(F9&gt;=参数!$B$49,"90+ ▂▄▆█",IF(F9&gt;=参数!$B$48,"70–89 ▂▄▆",IF(F9&gt;=参数!$B$47,"40–69 ▂▄","0–39 ▂")))</f>
        <v/>
      </c>
      <c r="H9" s="8">
        <f>H8+参数!$B$54</f>
        <v/>
      </c>
      <c r="I9" s="8">
        <f>I8+参数!$B$53</f>
        <v/>
      </c>
      <c r="J9" s="10">
        <f>J8+参数!$B$6/1440</f>
        <v/>
      </c>
      <c r="K9" s="8">
        <f>IF(D9&gt;=0,"PASS","FAIL")</f>
        <v/>
      </c>
      <c r="L9" s="4" t="inlineStr">
        <is>
          <t>本轮新增:加深至 3 层</t>
        </is>
      </c>
    </row>
    <row r="10">
      <c r="A10" s="8" t="n">
        <v>8</v>
      </c>
      <c r="B10" s="4" t="inlineStr">
        <is>
          <t>格4 妈线程·深搜层2</t>
        </is>
      </c>
      <c r="C10" s="8">
        <f>-参数!$B$15</f>
        <v/>
      </c>
      <c r="D10" s="8">
        <f>D9+C10</f>
        <v/>
      </c>
      <c r="E10" s="8">
        <f>参数!$B$26</f>
        <v/>
      </c>
      <c r="F10" s="8">
        <f>MIN(F9+E10,参数!$B$7)</f>
        <v/>
      </c>
      <c r="G10" s="4">
        <f>IF(F10&gt;=参数!$B$49,"90+ ▂▄▆█",IF(F10&gt;=参数!$B$48,"70–89 ▂▄▆",IF(F10&gt;=参数!$B$47,"40–69 ▂▄","0–39 ▂")))</f>
        <v/>
      </c>
      <c r="H10" s="8">
        <f>H9+参数!$B$54</f>
        <v/>
      </c>
      <c r="I10" s="8">
        <f>I9+参数!$B$53</f>
        <v/>
      </c>
      <c r="J10" s="10">
        <f>J9+参数!$B$6/1440</f>
        <v/>
      </c>
      <c r="K10" s="8">
        <f>IF(D10&gt;=0,"PASS","FAIL")</f>
        <v/>
      </c>
      <c r="L10" s="4" t="inlineStr"/>
    </row>
    <row r="11">
      <c r="A11" s="8" t="n">
        <v>9</v>
      </c>
      <c r="B11" s="4" t="inlineStr">
        <is>
          <t>格4 妈线程·深搜层3</t>
        </is>
      </c>
      <c r="C11" s="8">
        <f>-参数!$B$15</f>
        <v/>
      </c>
      <c r="D11" s="8">
        <f>D10+C11</f>
        <v/>
      </c>
      <c r="E11" s="8">
        <f>参数!$B$26</f>
        <v/>
      </c>
      <c r="F11" s="8">
        <f>MIN(F10+E11,参数!$B$7)</f>
        <v/>
      </c>
      <c r="G11" s="4">
        <f>IF(F11&gt;=参数!$B$49,"90+ ▂▄▆█",IF(F11&gt;=参数!$B$48,"70–89 ▂▄▆",IF(F11&gt;=参数!$B$47,"40–69 ▂▄","0–39 ▂")))</f>
        <v/>
      </c>
      <c r="H11" s="8">
        <f>H10+参数!$B$54</f>
        <v/>
      </c>
      <c r="I11" s="8">
        <f>I10+参数!$B$53</f>
        <v/>
      </c>
      <c r="J11" s="10">
        <f>J10+参数!$B$6/1440</f>
        <v/>
      </c>
      <c r="K11" s="8">
        <f>IF(D11&gt;=0,"PASS","FAIL")</f>
        <v/>
      </c>
      <c r="L11" s="4" t="inlineStr">
        <is>
          <t>「妈的那条线,别读太久。」</t>
        </is>
      </c>
    </row>
    <row r="12">
      <c r="A12" s="8" t="n">
        <v>10</v>
      </c>
      <c r="B12" s="4" t="inlineStr">
        <is>
          <t>格5 打开相册</t>
        </is>
      </c>
      <c r="C12" s="8">
        <f>-参数!$B$13</f>
        <v/>
      </c>
      <c r="D12" s="8">
        <f>D11+C12</f>
        <v/>
      </c>
      <c r="E12" s="8">
        <f>参数!$B$25</f>
        <v/>
      </c>
      <c r="F12" s="8">
        <f>MIN(F11+E12,参数!$B$7)</f>
        <v/>
      </c>
      <c r="G12" s="4">
        <f>IF(F12&gt;=参数!$B$49,"90+ ▂▄▆█",IF(F12&gt;=参数!$B$48,"70–89 ▂▄▆",IF(F12&gt;=参数!$B$47,"40–69 ▂▄","0–39 ▂")))</f>
        <v/>
      </c>
      <c r="H12" s="8">
        <f>H11</f>
        <v/>
      </c>
      <c r="I12" s="8">
        <f>I11</f>
        <v/>
      </c>
      <c r="J12" s="10">
        <f>J11+参数!$B$6/1440</f>
        <v/>
      </c>
      <c r="K12" s="8">
        <f>IF(D12&gt;=0,"PASS","FAIL")</f>
        <v/>
      </c>
      <c r="L12" s="4" t="inlineStr">
        <is>
          <t>E2:最新一张停在 47 天前</t>
        </is>
      </c>
    </row>
    <row r="13">
      <c r="A13" s="8" t="n">
        <v>11</v>
      </c>
      <c r="B13" s="4" t="inlineStr">
        <is>
          <t>格5 相册·深翻1</t>
        </is>
      </c>
      <c r="C13" s="8">
        <f>-参数!$B$15</f>
        <v/>
      </c>
      <c r="D13" s="8">
        <f>D12+C13</f>
        <v/>
      </c>
      <c r="E13" s="8">
        <f>参数!$B$26</f>
        <v/>
      </c>
      <c r="F13" s="8">
        <f>MIN(F12+E13,参数!$B$7)</f>
        <v/>
      </c>
      <c r="G13" s="4">
        <f>IF(F13&gt;=参数!$B$49,"90+ ▂▄▆█",IF(F13&gt;=参数!$B$48,"70–89 ▂▄▆",IF(F13&gt;=参数!$B$47,"40–69 ▂▄","0–39 ▂")))</f>
        <v/>
      </c>
      <c r="H13" s="8">
        <f>H12+参数!$B$59</f>
        <v/>
      </c>
      <c r="I13" s="8">
        <f>I12+参数!$B$58</f>
        <v/>
      </c>
      <c r="J13" s="10">
        <f>J12+参数!$B$6/1440</f>
        <v/>
      </c>
      <c r="K13" s="8">
        <f>IF(D13&gt;=0,"PASS","FAIL")</f>
        <v/>
      </c>
      <c r="L13" s="4" t="inlineStr">
        <is>
          <t>外卖单据特写 → 指向 8873</t>
        </is>
      </c>
    </row>
    <row r="14">
      <c r="A14" s="8" t="n">
        <v>12</v>
      </c>
      <c r="B14" s="4" t="inlineStr">
        <is>
          <t>格5 相册·深翻2</t>
        </is>
      </c>
      <c r="C14" s="8">
        <f>-参数!$B$15</f>
        <v/>
      </c>
      <c r="D14" s="8">
        <f>D13+C14</f>
        <v/>
      </c>
      <c r="E14" s="8">
        <f>参数!$B$26</f>
        <v/>
      </c>
      <c r="F14" s="8">
        <f>MIN(F13+E14,参数!$B$7)</f>
        <v/>
      </c>
      <c r="G14" s="4">
        <f>IF(F14&gt;=参数!$B$49,"90+ ▂▄▆█",IF(F14&gt;=参数!$B$48,"70–89 ▂▄▆",IF(F14&gt;=参数!$B$47,"40–69 ▂▄","0–39 ▂")))</f>
        <v/>
      </c>
      <c r="H14" s="8">
        <f>H13+参数!$B$61</f>
        <v/>
      </c>
      <c r="I14" s="8">
        <f>I13+参数!$B$60</f>
        <v/>
      </c>
      <c r="J14" s="10">
        <f>J13+参数!$B$6/1440</f>
        <v/>
      </c>
      <c r="K14" s="8">
        <f>IF(D14&gt;=0,"PASS","FAIL")</f>
        <v/>
      </c>
      <c r="L14" s="4" t="inlineStr">
        <is>
          <t>本轮新增</t>
        </is>
      </c>
    </row>
    <row r="15">
      <c r="A15" s="8" t="n">
        <v>13</v>
      </c>
      <c r="B15" s="4" t="inlineStr">
        <is>
          <t>格5 相册·深翻3(归档边界)</t>
        </is>
      </c>
      <c r="C15" s="8">
        <f>-参数!$B$15</f>
        <v/>
      </c>
      <c r="D15" s="8">
        <f>D14+C15</f>
        <v/>
      </c>
      <c r="E15" s="8">
        <f>参数!$B$26</f>
        <v/>
      </c>
      <c r="F15" s="8">
        <f>MIN(F14+E15,参数!$B$7)</f>
        <v/>
      </c>
      <c r="G15" s="4">
        <f>IF(F15&gt;=参数!$B$49,"90+ ▂▄▆█",IF(F15&gt;=参数!$B$48,"70–89 ▂▄▆",IF(F15&gt;=参数!$B$47,"40–69 ▂▄","0–39 ▂")))</f>
        <v/>
      </c>
      <c r="H15" s="8">
        <f>H14+参数!$B$63</f>
        <v/>
      </c>
      <c r="I15" s="8">
        <f>I14+参数!$B$62</f>
        <v/>
      </c>
      <c r="J15" s="10">
        <f>J14+参数!$B$6/1440</f>
        <v/>
      </c>
      <c r="K15" s="8">
        <f>IF(D15&gt;=0,"PASS","FAIL")</f>
        <v/>
      </c>
      <c r="L15" s="4" t="inlineStr">
        <is>
          <t>无收益,成本照扣</t>
        </is>
      </c>
    </row>
    <row r="16">
      <c r="A16" s="8" t="n">
        <v>14</v>
      </c>
      <c r="B16" s="4" t="inlineStr">
        <is>
          <t>格7 打开尾号8873</t>
        </is>
      </c>
      <c r="C16" s="8">
        <f>-参数!$B$13</f>
        <v/>
      </c>
      <c r="D16" s="8">
        <f>D15+C16</f>
        <v/>
      </c>
      <c r="E16" s="8">
        <f>参数!$B$25</f>
        <v/>
      </c>
      <c r="F16" s="8">
        <f>MIN(F15+E16,参数!$B$7)</f>
        <v/>
      </c>
      <c r="G16" s="4">
        <f>IF(F16&gt;=参数!$B$49,"90+ ▂▄▆█",IF(F16&gt;=参数!$B$48,"70–89 ▂▄▆",IF(F16&gt;=参数!$B$47,"40–69 ▂▄","0–39 ▂")))</f>
        <v/>
      </c>
      <c r="H16" s="8">
        <f>H15+参数!$B$57</f>
        <v/>
      </c>
      <c r="I16" s="8">
        <f>I15+参数!$B$56</f>
        <v/>
      </c>
      <c r="J16" s="10">
        <f>J15+参数!$B$6/1440</f>
        <v/>
      </c>
      <c r="K16" s="8">
        <f>IF(D16&gt;=0,"PASS","FAIL")</f>
        <v/>
      </c>
      <c r="L16" s="4" t="inlineStr">
        <is>
          <t>E3:账单停摆</t>
        </is>
      </c>
    </row>
    <row r="17">
      <c r="A17" s="8" t="n">
        <v>15</v>
      </c>
      <c r="B17" s="4" t="inlineStr">
        <is>
          <t>播放录音 REC_047</t>
        </is>
      </c>
      <c r="C17" s="8">
        <f>-参数!$B$22</f>
        <v/>
      </c>
      <c r="D17" s="8">
        <f>D16+C17</f>
        <v/>
      </c>
      <c r="E17" s="8" t="n">
        <v>0</v>
      </c>
      <c r="F17" s="8">
        <f>MIN(F16+E17,参数!$B$7)</f>
        <v/>
      </c>
      <c r="G17" s="4">
        <f>IF(F17&gt;=参数!$B$49,"90+ ▂▄▆█",IF(F17&gt;=参数!$B$48,"70–89 ▂▄▆",IF(F17&gt;=参数!$B$47,"40–69 ▂▄","0–39 ▂")))</f>
        <v/>
      </c>
      <c r="H17" s="8">
        <f>H16+参数!$B$69</f>
        <v/>
      </c>
      <c r="I17" s="8">
        <f>I16+参数!$B$68</f>
        <v/>
      </c>
      <c r="J17" s="10">
        <f>J16+参数!$B$6/1440</f>
        <v/>
      </c>
      <c r="K17" s="8">
        <f>IF(D17&gt;=0,"PASS","FAIL")</f>
        <v/>
      </c>
      <c r="L17" s="4" t="inlineStr">
        <is>
          <t>本轮新增</t>
        </is>
      </c>
    </row>
    <row r="18">
      <c r="A18" s="8" t="n">
        <v>16</v>
      </c>
      <c r="B18" s="4" t="inlineStr">
        <is>
          <t>播放录音 REC_012</t>
        </is>
      </c>
      <c r="C18" s="8">
        <f>-参数!$B$22</f>
        <v/>
      </c>
      <c r="D18" s="8">
        <f>D17+C18</f>
        <v/>
      </c>
      <c r="E18" s="8" t="n">
        <v>0</v>
      </c>
      <c r="F18" s="8">
        <f>MIN(F17+E18,参数!$B$7)</f>
        <v/>
      </c>
      <c r="G18" s="4">
        <f>IF(F18&gt;=参数!$B$49,"90+ ▂▄▆█",IF(F18&gt;=参数!$B$48,"70–89 ▂▄▆",IF(F18&gt;=参数!$B$47,"40–69 ▂▄","0–39 ▂")))</f>
        <v/>
      </c>
      <c r="H18" s="8">
        <f>H17+参数!$B$71</f>
        <v/>
      </c>
      <c r="I18" s="8">
        <f>I17+参数!$B$70</f>
        <v/>
      </c>
      <c r="J18" s="10">
        <f>J17+参数!$B$6/1440</f>
        <v/>
      </c>
      <c r="K18" s="8">
        <f>IF(D18&gt;=0,"PASS","FAIL")</f>
        <v/>
      </c>
      <c r="L18" s="4" t="inlineStr">
        <is>
          <t>本轮新增</t>
        </is>
      </c>
    </row>
    <row r="19">
      <c r="A19" s="8" t="n">
        <v>17</v>
      </c>
      <c r="B19" s="4" t="inlineStr">
        <is>
          <t>拨打电话(通讯录任意人)</t>
        </is>
      </c>
      <c r="C19" s="8">
        <f>-参数!$B$21</f>
        <v/>
      </c>
      <c r="D19" s="8">
        <f>D18+C19</f>
        <v/>
      </c>
      <c r="E19" s="8">
        <f>参数!$B$29</f>
        <v/>
      </c>
      <c r="F19" s="8">
        <f>MIN(F18+E19,参数!$B$7)</f>
        <v/>
      </c>
      <c r="G19" s="4">
        <f>IF(F19&gt;=参数!$B$49,"90+ ▂▄▆█",IF(F19&gt;=参数!$B$48,"70–89 ▂▄▆",IF(F19&gt;=参数!$B$47,"40–69 ▂▄","0–39 ▂")))</f>
        <v/>
      </c>
      <c r="H19" s="8">
        <f>H18</f>
        <v/>
      </c>
      <c r="I19" s="8">
        <f>I18</f>
        <v/>
      </c>
      <c r="J19" s="10">
        <f>J18+参数!$B$6/1440</f>
        <v/>
      </c>
      <c r="K19" s="8">
        <f>IF(D19&gt;=0,"PASS","FAIL")</f>
        <v/>
      </c>
      <c r="L19" s="4" t="inlineStr">
        <is>
          <t>本轮新增;不走违规经济</t>
        </is>
      </c>
    </row>
    <row r="20">
      <c r="A20" s="8" t="n">
        <v>18</v>
      </c>
      <c r="B20" s="4" t="inlineStr">
        <is>
          <t>格10 打开柔柔线程</t>
        </is>
      </c>
      <c r="C20" s="8">
        <f>-参数!$B$13</f>
        <v/>
      </c>
      <c r="D20" s="8">
        <f>D19+C20</f>
        <v/>
      </c>
      <c r="E20" s="8">
        <f>参数!$B$25</f>
        <v/>
      </c>
      <c r="F20" s="8">
        <f>MIN(F19+E20,参数!$B$7)</f>
        <v/>
      </c>
      <c r="G20" s="4">
        <f>IF(F20&gt;=参数!$B$49,"90+ ▂▄▆█",IF(F20&gt;=参数!$B$48,"70–89 ▂▄▆",IF(F20&gt;=参数!$B$47,"40–69 ▂▄","0–39 ▂")))</f>
        <v/>
      </c>
      <c r="H20" s="8">
        <f>H19</f>
        <v/>
      </c>
      <c r="I20" s="8">
        <f>I19</f>
        <v/>
      </c>
      <c r="J20" s="10">
        <f>J19+参数!$B$6/1440</f>
        <v/>
      </c>
      <c r="K20" s="8">
        <f>IF(D20&gt;=0,"PASS","FAIL")</f>
        <v/>
      </c>
      <c r="L20" s="4" t="inlineStr">
        <is>
          <t>2,417 条</t>
        </is>
      </c>
    </row>
    <row r="21">
      <c r="A21" s="8" t="n">
        <v>19</v>
      </c>
      <c r="B21" s="4" t="inlineStr">
        <is>
          <t>格10 柔柔·上滑1</t>
        </is>
      </c>
      <c r="C21" s="8">
        <f>-参数!$B$15</f>
        <v/>
      </c>
      <c r="D21" s="8">
        <f>D20+C21</f>
        <v/>
      </c>
      <c r="E21" s="8">
        <f>参数!$B$26</f>
        <v/>
      </c>
      <c r="F21" s="8">
        <f>MIN(F20+E21,参数!$B$7)</f>
        <v/>
      </c>
      <c r="G21" s="4">
        <f>IF(F21&gt;=参数!$B$49,"90+ ▂▄▆█",IF(F21&gt;=参数!$B$48,"70–89 ▂▄▆",IF(F21&gt;=参数!$B$47,"40–69 ▂▄","0–39 ▂")))</f>
        <v/>
      </c>
      <c r="H21" s="8">
        <f>H20+参数!$B$65</f>
        <v/>
      </c>
      <c r="I21" s="8">
        <f>I20+参数!$B$64</f>
        <v/>
      </c>
      <c r="J21" s="10">
        <f>J20+参数!$B$6/1440</f>
        <v/>
      </c>
      <c r="K21" s="8">
        <f>IF(D21&gt;=0,"PASS","FAIL")</f>
        <v/>
      </c>
      <c r="L21" s="4" t="inlineStr"/>
    </row>
    <row r="22">
      <c r="A22" s="8" t="n">
        <v>20</v>
      </c>
      <c r="B22" s="4" t="inlineStr">
        <is>
          <t>格10 柔柔·上滑2(E4 到底)</t>
        </is>
      </c>
      <c r="C22" s="8">
        <f>-参数!$B$15</f>
        <v/>
      </c>
      <c r="D22" s="8">
        <f>D21+C22</f>
        <v/>
      </c>
      <c r="E22" s="8">
        <f>参数!$B$26</f>
        <v/>
      </c>
      <c r="F22" s="8">
        <f>MIN(F21+E22,参数!$B$7)</f>
        <v/>
      </c>
      <c r="G22" s="4">
        <f>IF(F22&gt;=参数!$B$49,"90+ ▂▄▆█",IF(F22&gt;=参数!$B$48,"70–89 ▂▄▆",IF(F22&gt;=参数!$B$47,"40–69 ▂▄","0–39 ▂")))</f>
        <v/>
      </c>
      <c r="H22" s="8">
        <f>H21+参数!$B$65</f>
        <v/>
      </c>
      <c r="I22" s="8">
        <f>I21+参数!$B$64</f>
        <v/>
      </c>
      <c r="J22" s="10">
        <f>J21+参数!$B$6/1440</f>
        <v/>
      </c>
      <c r="K22" s="8">
        <f>IF(D22&gt;=0,"PASS","FAIL")</f>
        <v/>
      </c>
      <c r="L22" s="4" t="inlineStr">
        <is>
          <t>最后一条人类消息 03:07</t>
        </is>
      </c>
    </row>
    <row r="23">
      <c r="A23" s="8" t="n">
        <v>21</v>
      </c>
      <c r="B23" s="4" t="inlineStr">
        <is>
          <t>格11 已删除·开挂标记目录</t>
        </is>
      </c>
      <c r="C23" s="8">
        <f>-参数!$B$17</f>
        <v/>
      </c>
      <c r="D23" s="8">
        <f>D22+C23</f>
        <v/>
      </c>
      <c r="E23" s="8">
        <f>参数!$B$27</f>
        <v/>
      </c>
      <c r="F23" s="8">
        <f>MIN(F22+E23,参数!$B$7)</f>
        <v/>
      </c>
      <c r="G23" s="4">
        <f>IF(F23&gt;=参数!$B$49,"90+ ▂▄▆█",IF(F23&gt;=参数!$B$48,"70–89 ▂▄▆",IF(F23&gt;=参数!$B$47,"40–69 ▂▄","0–39 ▂")))</f>
        <v/>
      </c>
      <c r="H23" s="8">
        <f>H22+参数!$B$67</f>
        <v/>
      </c>
      <c r="I23" s="8">
        <f>I22+参数!$B$66</f>
        <v/>
      </c>
      <c r="J23" s="10">
        <f>J22+参数!$B$6/1440</f>
        <v/>
      </c>
      <c r="K23" s="8">
        <f>IF(D23&gt;=0,"PASS","FAIL")</f>
        <v/>
      </c>
      <c r="L23" s="4" t="inlineStr">
        <is>
          <t>掷 d100≤25 → 90档遭遇;本链按未触发模拟</t>
        </is>
      </c>
    </row>
    <row r="24">
      <c r="A24" s="8" t="n">
        <v>22</v>
      </c>
      <c r="B24" s="4" t="inlineStr">
        <is>
          <t>上传·回合1(46%)</t>
        </is>
      </c>
      <c r="C24" s="8">
        <f>-参数!$B$19</f>
        <v/>
      </c>
      <c r="D24" s="8">
        <f>D23+C24</f>
        <v/>
      </c>
      <c r="E24" s="8">
        <f>参数!$B$28</f>
        <v/>
      </c>
      <c r="F24" s="8">
        <f>MIN(F23+E24,参数!$B$7)</f>
        <v/>
      </c>
      <c r="G24" s="4">
        <f>IF(F24&gt;=参数!$B$49,"90+ ▂▄▆█",IF(F24&gt;=参数!$B$48,"70–89 ▂▄▆",IF(F24&gt;=参数!$B$47,"40–69 ▂▄","0–39 ▂")))</f>
        <v/>
      </c>
      <c r="H24" s="8">
        <f>H23</f>
        <v/>
      </c>
      <c r="I24" s="8">
        <f>I23</f>
        <v/>
      </c>
      <c r="J24" s="10">
        <f>J23+参数!$B$6/1440</f>
        <v/>
      </c>
      <c r="K24" s="8">
        <f>IF(D24&gt;=0,"PASS","FAIL")</f>
        <v/>
      </c>
      <c r="L24" s="4" t="inlineStr">
        <is>
          <t>断连窗口正在收窄(仍可中止活着出去)</t>
        </is>
      </c>
    </row>
    <row r="25">
      <c r="A25" s="8" t="n">
        <v>23</v>
      </c>
      <c r="B25" s="4" t="inlineStr">
        <is>
          <t>上传·回合2(92%)</t>
        </is>
      </c>
      <c r="C25" s="8">
        <f>-参数!$B$19</f>
        <v/>
      </c>
      <c r="D25" s="8">
        <f>D24+C25</f>
        <v/>
      </c>
      <c r="E25" s="8">
        <f>参数!$B$28</f>
        <v/>
      </c>
      <c r="F25" s="8">
        <f>MIN(F24+E25,参数!$B$7)</f>
        <v/>
      </c>
      <c r="G25" s="4">
        <f>IF(F25&gt;=参数!$B$49,"90+ ▂▄▆█",IF(F25&gt;=参数!$B$48,"70–89 ▂▄▆",IF(F25&gt;=参数!$B$47,"40–69 ▂▄","0–39 ▂")))</f>
        <v/>
      </c>
      <c r="H25" s="8">
        <f>H24</f>
        <v/>
      </c>
      <c r="I25" s="8">
        <f>I24</f>
        <v/>
      </c>
      <c r="J25" s="10">
        <f>J24+参数!$B$6/1440</f>
        <v/>
      </c>
      <c r="K25" s="8">
        <f>IF(D25&gt;=0,"PASS","FAIL")</f>
        <v/>
      </c>
      <c r="L25" s="4" t="inlineStr">
        <is>
          <t>被定位【固定】;信号触顶,演出置满格</t>
        </is>
      </c>
    </row>
    <row r="26">
      <c r="A26" s="8" t="n">
        <v>24</v>
      </c>
      <c r="B26" s="4" t="inlineStr">
        <is>
          <t>终局遭遇·死亡</t>
        </is>
      </c>
      <c r="C26" s="8" t="n">
        <v>0</v>
      </c>
      <c r="D26" s="8">
        <f>D25+C26</f>
        <v/>
      </c>
      <c r="E26" s="8" t="n">
        <v>0</v>
      </c>
      <c r="F26" s="8">
        <f>MIN(F25+E26,参数!$B$7)</f>
        <v/>
      </c>
      <c r="G26" s="4">
        <f>IF(F26&gt;=参数!$B$49,"90+ ▂▄▆█",IF(F26&gt;=参数!$B$48,"70–89 ▂▄▆",IF(F26&gt;=参数!$B$47,"40–69 ▂▄","0–39 ▂")))</f>
        <v/>
      </c>
      <c r="H26" s="8">
        <f>H25</f>
        <v/>
      </c>
      <c r="I26" s="8">
        <f>I25</f>
        <v/>
      </c>
      <c r="J26" s="10">
        <f>J25</f>
        <v/>
      </c>
      <c r="K26" s="8">
        <f>IF(D26&gt;=0,"PASS","FAIL")</f>
        <v/>
      </c>
      <c r="L26" s="4" t="inlineStr">
        <is>
          <t>自救模块权限不足【固定】;缓存全部散佚(死亡全损)</t>
        </is>
      </c>
    </row>
    <row r="28">
      <c r="B28" s="11" t="inlineStr">
        <is>
          <t>—— 末行汇总 ——</t>
        </is>
      </c>
    </row>
    <row r="29">
      <c r="B29" s="9" t="inlineStr">
        <is>
          <t>死亡时点电量</t>
        </is>
      </c>
      <c r="D29" s="8">
        <f>D26</f>
        <v/>
      </c>
    </row>
    <row r="30">
      <c r="B30" s="9" t="inlineStr">
        <is>
          <t>死亡时点信号</t>
        </is>
      </c>
      <c r="D30" s="8">
        <f>F26</f>
        <v/>
      </c>
      <c r="G30" s="4">
        <f>G26</f>
        <v/>
      </c>
    </row>
    <row r="31">
      <c r="B31" s="9" t="inlineStr">
        <is>
          <t>缓存总格</t>
        </is>
      </c>
      <c r="D31" s="8">
        <f>H26</f>
        <v/>
      </c>
    </row>
    <row r="32">
      <c r="B32" s="9" t="inlineStr">
        <is>
          <t>缓存总值(死亡全损,散佚)</t>
        </is>
      </c>
      <c r="D32" s="8">
        <f>I26</f>
        <v/>
      </c>
    </row>
    <row r="33">
      <c r="B33" s="9" t="inlineStr">
        <is>
          <t>上传前电量(进上传R1前)</t>
        </is>
      </c>
      <c r="D33" s="8">
        <f>D23</f>
        <v/>
      </c>
    </row>
    <row r="34">
      <c r="B34" s="9" t="inlineStr">
        <is>
          <t>理论上传回合数</t>
        </is>
      </c>
      <c r="D34" s="8">
        <f>ROUNDUP(H26/参数!$B$73,0)</f>
        <v/>
      </c>
      <c r="L34" s="4" t="inlineStr">
        <is>
          <t>教学局演出于第 2 回合 92% 固定收束,不跑满理论回合</t>
        </is>
      </c>
    </row>
    <row r="35">
      <c r="B35" s="9" t="inlineStr">
        <is>
          <t>检查:全程电量 ≥ 0</t>
        </is>
      </c>
      <c r="K35" s="8">
        <f>IF(MIN(D2:D26)&gt;=0,"PASS","FAIL")</f>
        <v/>
      </c>
    </row>
    <row r="36">
      <c r="B36" s="9" t="inlineStr">
        <is>
          <t>检查:上传前电量 ≥ 三成(备忘承诺)</t>
        </is>
      </c>
      <c r="K36" s="8">
        <f>IF(D23&gt;=参数!$B$3*参数!$B$10,"PASS","FAIL")</f>
        <v/>
      </c>
      <c r="L36" s="4" t="inlineStr">
        <is>
          <t>贪婪全翻链预期 FAIL——「贪的死在传输条上」的量化呈现</t>
        </is>
      </c>
    </row>
  </sheetData>
  <conditionalFormatting sqref="K2:K26">
    <cfRule type="cellIs" priority="1" operator="equal" dxfId="0">
      <formula>"PASS"</formula>
    </cfRule>
    <cfRule type="cellIs" priority="2" operator="equal" dxfId="1">
      <formula>"FAIL"</formula>
    </cfRule>
  </conditionalFormatting>
  <conditionalFormatting sqref="K35:K36">
    <cfRule type="cellIs" priority="3" operator="equal" dxfId="0">
      <formula>"PASS"</formula>
    </cfRule>
    <cfRule type="cellIs" priority="4" operator="equal" dxfId="1">
      <formula>"FAIL"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24" customWidth="1" min="4" max="4"/>
    <col width="52" customWidth="1" min="5" max="5"/>
  </cols>
  <sheetData>
    <row r="1">
      <c r="A1" s="1" t="inlineStr">
        <is>
          <t>判定档</t>
        </is>
      </c>
      <c r="B1" s="1" t="inlineStr">
        <is>
          <t>基础成功率(d100≤)</t>
        </is>
      </c>
      <c r="C1" s="1" t="inlineStr">
        <is>
          <t>省电修正后(&lt;20%)</t>
        </is>
      </c>
      <c r="D1" s="1" t="inlineStr">
        <is>
          <t>出处</t>
        </is>
      </c>
      <c r="E1" s="1" t="inlineStr">
        <is>
          <t>用途</t>
        </is>
      </c>
    </row>
    <row r="2">
      <c r="A2" s="4" t="inlineStr">
        <is>
          <t>70档</t>
        </is>
      </c>
      <c r="B2" s="8">
        <f>参数!$B$38</f>
        <v/>
      </c>
      <c r="C2" s="8">
        <f>B2-参数!$B$9</f>
        <v/>
      </c>
      <c r="D2" s="4" t="inlineStr">
        <is>
          <t>engine.js CHECK / 参数!B38</t>
        </is>
      </c>
      <c r="E2" s="4" t="inlineStr">
        <is>
          <t>中段遭遇回复;90 档失败降档后执行本表</t>
        </is>
      </c>
    </row>
    <row r="3">
      <c r="A3" s="4" t="inlineStr">
        <is>
          <t>90档</t>
        </is>
      </c>
      <c r="B3" s="8">
        <f>参数!$B$39</f>
        <v/>
      </c>
      <c r="C3" s="8">
        <f>B3-参数!$B$9</f>
        <v/>
      </c>
      <c r="D3" s="4" t="inlineStr">
        <is>
          <t>engine.js CHECK / 参数!B39</t>
        </is>
      </c>
      <c r="E3" s="4" t="inlineStr">
        <is>
          <t>二次违规遭遇、挂标记遭遇(教学局【真掷】)</t>
        </is>
      </c>
    </row>
    <row r="4">
      <c r="A4" s="4" t="inlineStr">
        <is>
          <t>终局</t>
        </is>
      </c>
      <c r="B4" s="8">
        <f>参数!$B$40</f>
        <v/>
      </c>
      <c r="C4" s="8">
        <f>B4-参数!$B$9</f>
        <v/>
      </c>
      <c r="D4" s="4" t="inlineStr">
        <is>
          <t>engine.js CHECK / 参数!B40</t>
        </is>
      </c>
      <c r="E4" s="4" t="inlineStr">
        <is>
          <t>终局遭遇(教学局为【固定】死亡,骰子照掷不改结果)</t>
        </is>
      </c>
    </row>
    <row r="5">
      <c r="A5" s="4" t="inlineStr">
        <is>
          <t>自救</t>
        </is>
      </c>
      <c r="B5" s="8">
        <f>参数!$B$41</f>
        <v/>
      </c>
      <c r="C5" s="8">
        <f>B5-参数!$B$9</f>
        <v/>
      </c>
      <c r="D5" s="4" t="inlineStr">
        <is>
          <t>engine.js CHECK / 参数!B41</t>
        </is>
      </c>
      <c r="E5" s="4" t="inlineStr">
        <is>
          <t>自救模块(教学局 #7741-A 权限不足不可用;B 实例可用)</t>
        </is>
      </c>
    </row>
    <row r="7">
      <c r="A7" s="11" t="inlineStr">
        <is>
          <t>—— 教学局 90 档降档规则 ——</t>
        </is>
      </c>
    </row>
    <row r="8">
      <c r="A8" s="4" t="inlineStr">
        <is>
          <t>总则</t>
        </is>
      </c>
      <c r="B8" s="8">
        <f>"90 档遭遇【真掷】;失败不即死,降档执行 70 档表(教学局特例,v0.4 §0.2)"</f>
        <v/>
      </c>
    </row>
    <row r="9">
      <c r="A9" s="4" t="inlineStr">
        <is>
          <t>电量惩罚</t>
        </is>
      </c>
      <c r="B9" s="8">
        <f>-参数!$B$42</f>
        <v/>
      </c>
    </row>
    <row r="10">
      <c r="A10" s="4" t="inlineStr">
        <is>
          <t>缓存损毁</t>
        </is>
      </c>
      <c r="B10" s="8">
        <f>"损毁 "&amp;参数!$B$43*100&amp;"%–"&amp;参数!$B$44*100&amp;"%(随机)"</f>
        <v/>
      </c>
    </row>
    <row r="11">
      <c r="A11" s="4" t="inlineStr">
        <is>
          <t>信号</t>
        </is>
      </c>
      <c r="B11" s="8">
        <f>"+"&amp;参数!$B$45</f>
        <v/>
      </c>
    </row>
    <row r="12">
      <c r="A12" s="4" t="inlineStr">
        <is>
          <t>叙事</t>
        </is>
      </c>
      <c r="B12" s="8">
        <f>"写濒死;教学局的死亡只发生在固定收束"</f>
        <v/>
      </c>
    </row>
    <row r="14">
      <c r="A14" s="11" t="inlineStr">
        <is>
          <t>—— 口径 ——</t>
        </is>
      </c>
    </row>
    <row r="15">
      <c r="A15" s="4" t="inlineStr">
        <is>
          <t>【固定】</t>
        </is>
      </c>
      <c r="B15" s="4" t="inlineStr">
        <is>
          <t>结果预定,骰子照掷不改结果</t>
        </is>
      </c>
    </row>
    <row r="16">
      <c r="A16" s="4" t="inlineStr">
        <is>
          <t>【真掷】</t>
        </is>
      </c>
      <c r="B16" s="4" t="inlineStr">
        <is>
          <t>按骰面</t>
        </is>
      </c>
    </row>
    <row r="17">
      <c r="A17" s="4" t="inlineStr">
        <is>
          <t>省电修正</t>
        </is>
      </c>
      <c r="B17" s="4">
        <f>"电量 &lt; "&amp;参数!$B$8&amp;"% 时,所有判定成功率 −"&amp;参数!$B$9</f>
        <v/>
      </c>
    </row>
    <row r="18">
      <c r="A18" s="4" t="inlineStr">
        <is>
          <t>挂标记遭遇</t>
        </is>
      </c>
      <c r="B18" s="4">
        <f>"掷 d100≤"&amp;参数!$B$36*100&amp;" → 即时遭遇(90档)"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1" customWidth="1" min="4" max="4"/>
    <col width="10" customWidth="1" min="5" max="5"/>
    <col width="9" customWidth="1" min="6" max="6"/>
    <col width="62" customWidth="1" min="7" max="7"/>
    <col width="22" customWidth="1" min="8" max="8"/>
  </cols>
  <sheetData>
    <row r="1">
      <c r="A1" s="1" t="inlineStr">
        <is>
          <t>档位</t>
        </is>
      </c>
      <c r="B1" s="1" t="inlineStr">
        <is>
          <t>信号区间</t>
        </is>
      </c>
      <c r="C1" s="1" t="inlineStr">
        <is>
          <t>信号格显示</t>
        </is>
      </c>
      <c r="D1" s="1" t="inlineStr">
        <is>
          <t>threshold</t>
        </is>
      </c>
      <c r="E1" s="1" t="inlineStr">
        <is>
          <t>corrupt</t>
        </is>
      </c>
      <c r="F1" s="1" t="inlineStr">
        <is>
          <t>flicker</t>
        </is>
      </c>
      <c r="G1" s="1" t="inlineStr">
        <is>
          <t>玩家可感症状</t>
        </is>
      </c>
      <c r="H1" s="1" t="inlineStr">
        <is>
          <t>出处</t>
        </is>
      </c>
    </row>
    <row r="2">
      <c r="A2" s="4" t="inlineStr">
        <is>
          <t>档1</t>
        </is>
      </c>
      <c r="B2" s="8">
        <f>"0–"&amp;(参数!$B$47-1)</f>
        <v/>
      </c>
      <c r="C2" s="4" t="inlineStr">
        <is>
          <t>▂(1格)</t>
        </is>
      </c>
      <c r="D2" s="12" t="n">
        <v>0.42</v>
      </c>
      <c r="E2" s="13" t="n">
        <v>0.0004</v>
      </c>
      <c r="F2" s="12" t="n">
        <v>0</v>
      </c>
      <c r="G2" s="4" t="inlineStr">
        <is>
          <t>轻噪:列表序号偶闪又复原;「47 天前」偶读成「48 天前」——不解释,不进结算行</t>
        </is>
      </c>
      <c r="H2" s="4" t="inlineStr">
        <is>
          <t>v0.4 格2/格3 轻噪</t>
        </is>
      </c>
    </row>
    <row r="3">
      <c r="A3" s="4" t="inlineStr">
        <is>
          <t>档2</t>
        </is>
      </c>
      <c r="B3" s="8">
        <f>参数!$B$47&amp;"–"&amp;(参数!$B$48-1)</f>
        <v/>
      </c>
      <c r="C3" s="4" t="inlineStr">
        <is>
          <t>▂▄(2格)</t>
        </is>
      </c>
      <c r="D3" s="12" t="n">
        <v>0.44</v>
      </c>
      <c r="E3" s="13" t="n">
        <v>0.0035</v>
      </c>
      <c r="F3" s="12" t="n">
        <v>0.02</v>
      </c>
      <c r="G3" s="4" t="inlineStr">
        <is>
          <t>信号位可见后:已读消息回退未读(异常α);时间戳偶发窜位</t>
        </is>
      </c>
      <c r="H3" s="4" t="inlineStr">
        <is>
          <t>v0.4 格6 / content.js tsScramble</t>
        </is>
      </c>
    </row>
    <row r="4">
      <c r="A4" s="4" t="inlineStr">
        <is>
          <t>档3</t>
        </is>
      </c>
      <c r="B4" s="8">
        <f>参数!$B$48&amp;"–"&amp;(参数!$B$49-1)</f>
        <v/>
      </c>
      <c r="C4" s="4" t="inlineStr">
        <is>
          <t>▂▄▆(3格)</t>
        </is>
      </c>
      <c r="D4" s="12" t="n">
        <v>0.47</v>
      </c>
      <c r="E4" s="13" t="n">
        <v>0.011</v>
      </c>
      <c r="F4" s="12" t="n">
        <v>0.05</v>
      </c>
      <c r="G4" s="4" t="inlineStr">
        <is>
          <t>电量数字跳变(先念错值再改口);联系人栏「正在输入」幻影(无人发消息)</t>
        </is>
      </c>
      <c r="H4" s="4" t="inlineStr">
        <is>
          <t>v0.4 格11/格12</t>
        </is>
      </c>
    </row>
    <row r="5">
      <c r="A5" s="4" t="inlineStr">
        <is>
          <t>档4</t>
        </is>
      </c>
      <c r="B5" s="8">
        <f>参数!$B$49&amp;"+"</f>
        <v/>
      </c>
      <c r="C5" s="4" t="inlineStr">
        <is>
          <t>▂▄▆█(满格)</t>
        </is>
      </c>
      <c r="D5" s="12" t="n">
        <v>0.51</v>
      </c>
      <c r="E5" s="13" t="n">
        <v>0.029</v>
      </c>
      <c r="F5" s="12" t="n">
        <v>0.1</v>
      </c>
      <c r="G5" s="4" t="inlineStr">
        <is>
          <t>满格演出:屏幕自亮、来电、字形高腐蚀;格12 起信号格由剧本置位,失真渲染不免除</t>
        </is>
      </c>
      <c r="H5" s="4" t="inlineStr">
        <is>
          <t>v0.4 §0.6/格13</t>
        </is>
      </c>
    </row>
    <row r="7">
      <c r="A7" s="11" t="inlineStr">
        <is>
          <t>注</t>
        </is>
      </c>
      <c r="B7" s="4" t="inlineStr">
        <is>
          <t>threshold/corrupt/flicker 为运行时渲染参数(js 渲染层,本轮任务书给定口径);信号区间由参数表阈值联动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40" customWidth="1" min="3" max="3"/>
    <col width="56" customWidth="1" min="4" max="4"/>
  </cols>
  <sheetData>
    <row r="1">
      <c r="A1" s="1" t="inlineStr">
        <is>
          <t>项</t>
        </is>
      </c>
      <c r="B1" s="1" t="inlineStr">
        <is>
          <t>值</t>
        </is>
      </c>
      <c r="C1" s="1" t="inlineStr">
        <is>
          <t>口径</t>
        </is>
      </c>
      <c r="D1" s="1" t="inlineStr">
        <is>
          <t>备注</t>
        </is>
      </c>
    </row>
    <row r="2">
      <c r="A2" s="4" t="inlineStr">
        <is>
          <t>蒙特卡洛第一轮·朴素策略生还率</t>
        </is>
      </c>
      <c r="B2" s="14" t="n">
        <v>0.33</v>
      </c>
      <c r="C2" s="4" t="inlineStr">
        <is>
          <t>violation warn 首次+8 / 二次+15</t>
        </is>
      </c>
      <c r="D2" s="4" t="inlineStr">
        <is>
          <t>montecarlo 脚本 trace_violation_warn=8</t>
        </is>
      </c>
    </row>
    <row r="3">
      <c r="A3" s="4" t="inlineStr">
        <is>
          <t>蒙特卡洛第一轮·知情策略生还率</t>
        </is>
      </c>
      <c r="B3" s="14" t="n">
        <v>0.37</v>
      </c>
      <c r="C3" s="4" t="inlineStr">
        <is>
          <t>同上</t>
        </is>
      </c>
      <c r="D3" s="4" t="inlineStr"/>
    </row>
    <row r="4">
      <c r="A4" s="4" t="inlineStr">
        <is>
          <t>知情策略·提取值增幅</t>
        </is>
      </c>
      <c r="B4" s="14" t="n">
        <v>0.52</v>
      </c>
      <c r="C4" s="4" t="inlineStr">
        <is>
          <t>同上</t>
        </is>
      </c>
      <c r="D4" s="4" t="inlineStr">
        <is>
          <t>相对朴素策略 +52%</t>
        </is>
      </c>
    </row>
    <row r="5">
      <c r="A5" s="4" t="inlineStr">
        <is>
          <t>near-miss 率</t>
        </is>
      </c>
      <c r="B5" s="8" t="inlineStr">
        <is>
          <t>41–44%</t>
        </is>
      </c>
      <c r="C5" s="4" t="inlineStr">
        <is>
          <t>同上</t>
        </is>
      </c>
      <c r="D5" s="4" t="inlineStr">
        <is>
          <t>濒死未死区间(两策略)</t>
        </is>
      </c>
    </row>
    <row r="6">
      <c r="A6" s="4" t="inlineStr">
        <is>
          <t>口径一致性(与参数表联动)</t>
        </is>
      </c>
      <c r="B6" s="8">
        <f>"首次+"&amp;参数!$B$32&amp;" / 二次+"&amp;参数!$B$33</f>
        <v/>
      </c>
      <c r="C6" s="4" t="inlineStr">
        <is>
          <t>v0.4 §0.2 数值口径登记</t>
        </is>
      </c>
      <c r="D6" s="4" t="inlineStr">
        <is>
          <t>v3.0 原口径为「回复实体 +15」,本实例拆为 8/15</t>
        </is>
      </c>
    </row>
    <row r="7">
      <c r="A7" s="4" t="inlineStr">
        <is>
          <t>待办</t>
        </is>
      </c>
      <c r="B7" s="8" t="inlineStr">
        <is>
          <t>第二轮复跑</t>
        </is>
      </c>
      <c r="C7" s="4" t="inlineStr">
        <is>
          <t>原型定稿后按新口径复跑蒙特卡洛</t>
        </is>
      </c>
      <c r="D7" s="4" t="inlineStr">
        <is>
          <t>v0.4 §0.2:『原型定稿后需用此口径复跑蒙特卡洛第二轮』;本轮新增动作(拨打/录音/相册加深/妈线程3层/力竭)也需纳入</t>
        </is>
      </c>
    </row>
    <row r="9">
      <c r="A9" s="11" t="inlineStr">
        <is>
          <t>注</t>
        </is>
      </c>
      <c r="B9" s="4" t="inlineStr">
        <is>
          <t>本表为静态记录,不参与重算(除口径一致性行)。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2026-08-31T04:18:11Z</dcterms:created>
  <dcterms:modified xmlns:dcterms="http://purl.org/dc/terms/" xmlns:xsi="http://www.w3.org/2001/XMLSchema-instance" xsi:type="dcterms:W3CDTF">2026-08-31T04:18:11Z</dcterms:modified>
</cp:coreProperties>
</file>